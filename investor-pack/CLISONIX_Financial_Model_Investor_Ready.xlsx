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1.xml" ContentType="application/vnd.openxmlformats-officedocument.drawing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Revenue_Model" sheetId="3" state="visible" r:id="rId3"/>
    <sheet xmlns:r="http://schemas.openxmlformats.org/officeDocument/2006/relationships" name="Infrastructure" sheetId="4" state="visible" r:id="rId4"/>
    <sheet xmlns:r="http://schemas.openxmlformats.org/officeDocument/2006/relationships" name="OPEX" sheetId="5" state="visible" r:id="rId5"/>
    <sheet xmlns:r="http://schemas.openxmlformats.org/officeDocument/2006/relationships" name="PnL_3Y" sheetId="6" state="visible" r:id="rId6"/>
    <sheet xmlns:r="http://schemas.openxmlformats.org/officeDocument/2006/relationships" name="Monthly_Forecast_2026" sheetId="7" state="visible" r:id="rId7"/>
    <sheet xmlns:r="http://schemas.openxmlformats.org/officeDocument/2006/relationships" name="Scenario_Analysis" sheetId="8" state="visible" r:id="rId8"/>
    <sheet xmlns:r="http://schemas.openxmlformats.org/officeDocument/2006/relationships" name="Sensitivity" sheetId="9" state="visible" r:id="rId9"/>
    <sheet xmlns:r="http://schemas.openxmlformats.org/officeDocument/2006/relationships" name="Unit_Economics" sheetId="10" state="visible" r:id="rId10"/>
    <sheet xmlns:r="http://schemas.openxmlformats.org/officeDocument/2006/relationships" name="Use_of_Funds" sheetId="11" state="visible" r:id="rId11"/>
    <sheet xmlns:r="http://schemas.openxmlformats.org/officeDocument/2006/relationships" name="KPIs" sheetId="12" state="visible" r:id="rId12"/>
    <sheet xmlns:r="http://schemas.openxmlformats.org/officeDocument/2006/relationships" name="VC_Benchmark" sheetId="13" state="visible" r:id="rId13"/>
    <sheet xmlns:r="http://schemas.openxmlformats.org/officeDocument/2006/relationships" name="Data_Room_Ready" sheetId="14" state="visible" r:id="rId14"/>
    <sheet xmlns:r="http://schemas.openxmlformats.org/officeDocument/2006/relationships" name="Dashboard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0.0%"/>
    <numFmt numFmtId="166" formatCode="€#,##0"/>
    <numFmt numFmtId="167" formatCode="0.00x"/>
  </numFmts>
  <fonts count="8">
    <font>
      <name val="Calibri"/>
      <family val="2"/>
      <color theme="1"/>
      <sz val="11"/>
      <scheme val="minor"/>
    </font>
    <font>
      <b val="1"/>
      <color rgb="00FFFFFF"/>
      <sz val="20"/>
    </font>
    <font>
      <sz val="11"/>
    </font>
    <font>
      <b val="1"/>
      <sz val="12"/>
    </font>
    <font>
      <i val="1"/>
    </font>
    <font>
      <b val="1"/>
      <color rgb="00FFFFFF"/>
      <sz val="13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/>
    </xf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7" fillId="0" borderId="0" pivotButton="0" quotePrefix="0" xfId="0"/>
    <xf numFmtId="165" fontId="6" fillId="2" borderId="1" applyAlignment="1" pivotButton="0" quotePrefix="0" xfId="0">
      <alignment horizontal="center" vertical="center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Clisonix vs Median (Key Metrics)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'VC_Benchmark'!B3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'VC_Benchmark'!$A$4:$A$10</f>
            </numRef>
          </cat>
          <val>
            <numRef>
              <f>'VC_Benchmark'!$B$4:$B$10</f>
            </numRef>
          </val>
        </ser>
        <ser>
          <idx val="1"/>
          <order val="1"/>
          <tx>
            <strRef>
              <f>'VC_Benchmark'!C3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'VC_Benchmark'!$A$4:$A$10</f>
            </numRef>
          </cat>
          <val>
            <numRef>
              <f>'VC_Benchmark'!$C$4:$C$10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vs EBITDA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'Dashboard'!$B$3:$D$3</f>
            </numRef>
          </cat>
          <val>
            <numRef>
              <f>'Dashboard'!$B$4:$D$4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'Dashboard'!$B$3:$D$3</f>
            </numRef>
          </cat>
          <val>
            <numRef>
              <f>'Dashboard'!$B$5:$D$5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'Dashboard'!$B$3:$D$3</f>
            </numRef>
          </cat>
          <val>
            <numRef>
              <f>'Dashboard'!$B$6:$D$6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EUR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2028 Revenue Mix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'Revenue_Model'!$A$2:$A$8</f>
            </numRef>
          </cat>
          <val>
            <numRef>
              <f>'Revenue_Model'!$H$2:$H$8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EUR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13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11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CLISONIX INVESTOR MODEL — ADVANCED ANALYTICS</t>
        </is>
      </c>
    </row>
    <row r="2"/>
    <row r="3">
      <c r="A3" s="2" t="inlineStr">
        <is>
          <t>Board-grade financial model with scenarios, sensitivities, funnel stats, and monthly dynamics</t>
        </is>
      </c>
    </row>
    <row r="4"/>
    <row r="5">
      <c r="A5" s="3" t="inlineStr">
        <is>
          <t>Key features</t>
        </is>
      </c>
    </row>
    <row r="6">
      <c r="A6" t="inlineStr">
        <is>
          <t>• 3-year P&amp;L with linked assumptions</t>
        </is>
      </c>
    </row>
    <row r="7">
      <c r="A7" t="inlineStr">
        <is>
          <t>• Monthly 2026 forecast (users, MRR, churn, runway)</t>
        </is>
      </c>
    </row>
    <row r="8">
      <c r="A8" t="inlineStr">
        <is>
          <t>• Scenario analysis (Bear/Base/Bull)</t>
        </is>
      </c>
    </row>
    <row r="9">
      <c r="A9" t="inlineStr">
        <is>
          <t>• Sensitivity matrix (conversion vs churn)</t>
        </is>
      </c>
    </row>
    <row r="10">
      <c r="A10" t="inlineStr">
        <is>
          <t>• Detailed unit economics and payback</t>
        </is>
      </c>
    </row>
    <row r="11">
      <c r="A11" t="inlineStr">
        <is>
          <t>• Infrastructure efficiency statistics</t>
        </is>
      </c>
    </row>
    <row r="12"/>
    <row r="13"/>
    <row r="14">
      <c r="A14" s="4" t="inlineStr">
        <is>
          <t>Primary input sheet: Assumptions</t>
        </is>
      </c>
    </row>
    <row r="15">
      <c r="A15" s="4" t="inlineStr">
        <is>
          <t>Generated by: investor-pack/build_investor_excel.py</t>
        </is>
      </c>
    </row>
  </sheetData>
  <mergeCells count="2">
    <mergeCell ref="A3:F3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17" customWidth="1" min="3" max="3"/>
    <col width="12" customWidth="1" min="4" max="4"/>
  </cols>
  <sheetData>
    <row r="1">
      <c r="A1" s="5" t="inlineStr">
        <is>
          <t>Model Assumptions</t>
        </is>
      </c>
    </row>
    <row r="2"/>
    <row r="3">
      <c r="A3" s="6" t="inlineStr">
        <is>
          <t>Input</t>
        </is>
      </c>
      <c r="B3" s="6" t="inlineStr">
        <is>
          <t>2026</t>
        </is>
      </c>
      <c r="C3" s="6" t="inlineStr">
        <is>
          <t>2027</t>
        </is>
      </c>
      <c r="D3" s="6" t="inlineStr">
        <is>
          <t>2028</t>
        </is>
      </c>
    </row>
    <row r="4">
      <c r="A4" t="inlineStr">
        <is>
          <t>Total Users</t>
        </is>
      </c>
      <c r="B4" s="7" t="n">
        <v>15420</v>
      </c>
      <c r="C4" s="7" t="n">
        <v>45720</v>
      </c>
      <c r="D4" s="7" t="n">
        <v>121800</v>
      </c>
    </row>
    <row r="5">
      <c r="A5" t="inlineStr">
        <is>
          <t>Paid Users</t>
        </is>
      </c>
      <c r="B5" s="7" t="n">
        <v>600</v>
      </c>
      <c r="C5" s="7" t="n">
        <v>3013</v>
      </c>
      <c r="D5" s="7" t="n">
        <v>8673</v>
      </c>
    </row>
    <row r="6">
      <c r="A6" t="inlineStr">
        <is>
          <t>Average ARPU (monthly)</t>
        </is>
      </c>
      <c r="B6" s="8" t="n">
        <v>16.8</v>
      </c>
      <c r="C6" s="8" t="n">
        <v>25.4</v>
      </c>
      <c r="D6" s="8" t="n">
        <v>32.8</v>
      </c>
    </row>
    <row r="7">
      <c r="A7" t="inlineStr">
        <is>
          <t>Monthly Churn</t>
        </is>
      </c>
      <c r="B7" s="9" t="n">
        <v>0.025</v>
      </c>
      <c r="C7" s="9" t="n">
        <v>0.022</v>
      </c>
      <c r="D7" s="9" t="n">
        <v>0.018</v>
      </c>
    </row>
    <row r="8">
      <c r="A8" t="inlineStr">
        <is>
          <t>Free→Paid Conversion</t>
        </is>
      </c>
      <c r="B8" s="9" t="n">
        <v>0.039</v>
      </c>
      <c r="C8" s="9" t="n">
        <v>0.052</v>
      </c>
      <c r="D8" s="9" t="n">
        <v>0.07099999999999999</v>
      </c>
    </row>
    <row r="9">
      <c r="A9" t="inlineStr">
        <is>
          <t>CAC</t>
        </is>
      </c>
      <c r="B9" s="7" t="n">
        <v>86</v>
      </c>
      <c r="C9" s="7" t="n">
        <v>64</v>
      </c>
      <c r="D9" s="7" t="n">
        <v>47</v>
      </c>
    </row>
    <row r="10">
      <c r="A10" t="inlineStr">
        <is>
          <t>Infrastructure Monthly</t>
        </is>
      </c>
      <c r="B10" s="10" t="n">
        <v>917</v>
      </c>
      <c r="C10" s="10" t="n">
        <v>1489</v>
      </c>
      <c r="D10" s="10" t="n">
        <v>2098</v>
      </c>
    </row>
    <row r="11">
      <c r="A11" t="inlineStr">
        <is>
          <t>Monthly OPEX</t>
        </is>
      </c>
      <c r="B11" s="10" t="n">
        <v>58417</v>
      </c>
      <c r="C11" s="10" t="n">
        <v>90823</v>
      </c>
      <c r="D11" s="10" t="n">
        <v>151765</v>
      </c>
    </row>
    <row r="12">
      <c r="A12" t="inlineStr">
        <is>
          <t>Monthly Growth (users)</t>
        </is>
      </c>
      <c r="B12" s="7" t="n">
        <v>0.15</v>
      </c>
      <c r="C12" s="7" t="n">
        <v>0.11</v>
      </c>
      <c r="D12" s="7" t="n">
        <v>0.09</v>
      </c>
    </row>
    <row r="13">
      <c r="B13" s="9" t="n"/>
      <c r="C13" s="9" t="n"/>
      <c r="D13" s="9" t="n"/>
    </row>
    <row r="14"/>
    <row r="15">
      <c r="A15" s="5" t="inlineStr">
        <is>
          <t>Scenario multipliers</t>
        </is>
      </c>
    </row>
    <row r="16">
      <c r="A16" s="6" t="inlineStr">
        <is>
          <t>Scenario</t>
        </is>
      </c>
      <c r="B16" s="6" t="inlineStr">
        <is>
          <t>Revenue Multiplier</t>
        </is>
      </c>
      <c r="C16" s="6" t="inlineStr">
        <is>
          <t>Cost Multiplier</t>
        </is>
      </c>
    </row>
    <row r="17">
      <c r="A17" t="inlineStr">
        <is>
          <t>Bear</t>
        </is>
      </c>
      <c r="B17" s="9" t="n">
        <v>0.8</v>
      </c>
      <c r="C17" s="9" t="n">
        <v>1.1</v>
      </c>
    </row>
    <row r="18">
      <c r="A18" t="inlineStr">
        <is>
          <t>Base</t>
        </is>
      </c>
      <c r="B18" s="9" t="n">
        <v>1</v>
      </c>
      <c r="C18" s="9" t="n">
        <v>1</v>
      </c>
    </row>
    <row r="19">
      <c r="A19" t="inlineStr">
        <is>
          <t>Bull</t>
        </is>
      </c>
      <c r="B19" s="9" t="n">
        <v>1.2</v>
      </c>
      <c r="C19" s="9" t="n">
        <v>0.95</v>
      </c>
    </row>
  </sheetData>
  <mergeCells count="2">
    <mergeCell ref="A15:C15"/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2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23" customWidth="1" min="9" max="9"/>
  </cols>
  <sheetData>
    <row r="1">
      <c r="A1" s="6" t="inlineStr">
        <is>
          <t>Plan</t>
        </is>
      </c>
      <c r="B1" s="6" t="inlineStr">
        <is>
          <t>Price/Month</t>
        </is>
      </c>
      <c r="C1" s="6" t="inlineStr">
        <is>
          <t>Users 2026</t>
        </is>
      </c>
      <c r="D1" s="6" t="inlineStr">
        <is>
          <t>Users 2027</t>
        </is>
      </c>
      <c r="E1" s="6" t="inlineStr">
        <is>
          <t>Users 2028</t>
        </is>
      </c>
      <c r="F1" s="6" t="inlineStr">
        <is>
          <t>Revenue 2026</t>
        </is>
      </c>
      <c r="G1" s="6" t="inlineStr">
        <is>
          <t>Revenue 2027</t>
        </is>
      </c>
      <c r="H1" s="6" t="inlineStr">
        <is>
          <t>Revenue 2028</t>
        </is>
      </c>
      <c r="I1" s="6" t="inlineStr">
        <is>
          <t>% of 2028</t>
        </is>
      </c>
    </row>
    <row r="2">
      <c r="A2" t="inlineStr">
        <is>
          <t>Basic</t>
        </is>
      </c>
      <c r="B2" s="10" t="n">
        <v>0</v>
      </c>
      <c r="C2" t="n">
        <v>15000</v>
      </c>
      <c r="D2" t="n">
        <v>45000</v>
      </c>
      <c r="E2" t="n">
        <v>120000</v>
      </c>
      <c r="F2" s="10">
        <f>B2*C2*12</f>
        <v/>
      </c>
      <c r="G2" s="10">
        <f>B2*D2*12</f>
        <v/>
      </c>
      <c r="H2" s="10">
        <f>B2*E2*12</f>
        <v/>
      </c>
      <c r="I2" s="9">
        <f>IF($H$9=0,0,H2/$H$9)</f>
        <v/>
      </c>
    </row>
    <row r="3">
      <c r="A3" t="inlineStr">
        <is>
          <t>Pro</t>
        </is>
      </c>
      <c r="B3" s="10" t="n">
        <v>29</v>
      </c>
      <c r="C3" t="n">
        <v>420</v>
      </c>
      <c r="D3" t="n">
        <v>2600</v>
      </c>
      <c r="E3" t="n">
        <v>8300</v>
      </c>
      <c r="F3" s="10">
        <f>B3*C3*12</f>
        <v/>
      </c>
      <c r="G3" s="10">
        <f>B3*D3*12</f>
        <v/>
      </c>
      <c r="H3" s="10">
        <f>B3*E3*12</f>
        <v/>
      </c>
      <c r="I3" s="9">
        <f>IF($H$9=0,0,H3/$H$9)</f>
        <v/>
      </c>
    </row>
    <row r="4">
      <c r="A4" t="inlineStr">
        <is>
          <t>Research</t>
        </is>
      </c>
      <c r="B4" s="10" t="n">
        <v>99</v>
      </c>
      <c r="C4" t="n">
        <v>85</v>
      </c>
      <c r="D4" t="n">
        <v>370</v>
      </c>
      <c r="E4" t="n">
        <v>1250</v>
      </c>
      <c r="F4" s="10">
        <f>B4*C4*12</f>
        <v/>
      </c>
      <c r="G4" s="10">
        <f>B4*D4*12</f>
        <v/>
      </c>
      <c r="H4" s="10">
        <f>B4*E4*12</f>
        <v/>
      </c>
      <c r="I4" s="9">
        <f>IF($H$9=0,0,H4/$H$9)</f>
        <v/>
      </c>
    </row>
    <row r="5">
      <c r="A5" t="inlineStr">
        <is>
          <t>Enterprise</t>
        </is>
      </c>
      <c r="B5" s="10" t="n">
        <v>499</v>
      </c>
      <c r="C5" t="n">
        <v>6</v>
      </c>
      <c r="D5" t="n">
        <v>20</v>
      </c>
      <c r="E5" t="n">
        <v>48</v>
      </c>
      <c r="F5" s="10">
        <f>B5*C5*12</f>
        <v/>
      </c>
      <c r="G5" s="10">
        <f>B5*D5*12</f>
        <v/>
      </c>
      <c r="H5" s="10">
        <f>B5*E5*12</f>
        <v/>
      </c>
      <c r="I5" s="9">
        <f>IF($H$9=0,0,H5/$H$9)</f>
        <v/>
      </c>
    </row>
    <row r="6">
      <c r="A6" t="inlineStr">
        <is>
          <t>API/Developer</t>
        </is>
      </c>
      <c r="B6" s="10" t="n">
        <v>299</v>
      </c>
      <c r="C6" t="n">
        <v>3</v>
      </c>
      <c r="D6" t="n">
        <v>18</v>
      </c>
      <c r="E6" t="n">
        <v>55</v>
      </c>
      <c r="F6" s="10">
        <f>B6*C6*12</f>
        <v/>
      </c>
      <c r="G6" s="10">
        <f>B6*D6*12</f>
        <v/>
      </c>
      <c r="H6" s="10">
        <f>B6*E6*12</f>
        <v/>
      </c>
      <c r="I6" s="9">
        <f>IF($H$9=0,0,H6/$H$9)</f>
        <v/>
      </c>
    </row>
    <row r="7">
      <c r="A7" t="inlineStr">
        <is>
          <t>Educational</t>
        </is>
      </c>
      <c r="B7" s="10" t="n">
        <v>199</v>
      </c>
      <c r="C7" t="n">
        <v>8</v>
      </c>
      <c r="D7" t="n">
        <v>25</v>
      </c>
      <c r="E7" t="n">
        <v>70</v>
      </c>
      <c r="F7" s="10">
        <f>B7*C7*12</f>
        <v/>
      </c>
      <c r="G7" s="10">
        <f>B7*D7*12</f>
        <v/>
      </c>
      <c r="H7" s="10">
        <f>B7*E7*12</f>
        <v/>
      </c>
      <c r="I7" s="9">
        <f>IF($H$9=0,0,H7/$H$9)</f>
        <v/>
      </c>
    </row>
    <row r="8">
      <c r="B8" s="10" t="n"/>
      <c r="F8" s="10" t="n"/>
      <c r="G8" s="10" t="n"/>
      <c r="H8" s="10" t="n"/>
      <c r="I8" s="9">
        <f>IF($H$9=0,0,H8/$H$9)</f>
        <v/>
      </c>
    </row>
    <row r="9">
      <c r="A9" s="11" t="inlineStr">
        <is>
          <t>TOTAL</t>
        </is>
      </c>
      <c r="B9" s="10" t="n"/>
      <c r="F9" s="10">
        <f>SUM(F2:F8)</f>
        <v/>
      </c>
      <c r="G9" s="10">
        <f>SUM(G2:G8)</f>
        <v/>
      </c>
      <c r="H9" s="10">
        <f>SUM(H2:H8)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1" customWidth="1" min="2" max="2"/>
    <col width="21" customWidth="1" min="3" max="3"/>
    <col width="21" customWidth="1" min="4" max="4"/>
    <col width="13" customWidth="1" min="5" max="5"/>
    <col width="17" customWidth="1" min="6" max="6"/>
  </cols>
  <sheetData>
    <row r="1">
      <c r="A1" s="6" t="inlineStr">
        <is>
          <t>Component</t>
        </is>
      </c>
      <c r="B1" s="6" t="inlineStr">
        <is>
          <t>Monthly</t>
        </is>
      </c>
      <c r="C1" s="6" t="inlineStr">
        <is>
          <t>Yearly 2026</t>
        </is>
      </c>
      <c r="D1" s="6" t="inlineStr">
        <is>
          <t>Yearly 2027</t>
        </is>
      </c>
      <c r="E1" s="6" t="inlineStr">
        <is>
          <t>Yearly 2028</t>
        </is>
      </c>
      <c r="F1" s="6" t="inlineStr">
        <is>
          <t>Unit</t>
        </is>
      </c>
    </row>
    <row r="2">
      <c r="A2" t="inlineStr">
        <is>
          <t>Hetzner GPU Server (RTX 5090)</t>
        </is>
      </c>
      <c r="B2" s="10" t="n">
        <v>509</v>
      </c>
      <c r="C2" s="10">
        <f>B2*12</f>
        <v/>
      </c>
      <c r="D2" s="10">
        <f>B2*12*2</f>
        <v/>
      </c>
      <c r="E2" s="10">
        <f>B2*12*3</f>
        <v/>
      </c>
      <c r="F2" t="inlineStr">
        <is>
          <t>Core compute</t>
        </is>
      </c>
    </row>
    <row r="3">
      <c r="A3" t="inlineStr">
        <is>
          <t>Storage + Backups</t>
        </is>
      </c>
      <c r="B3" s="10" t="n">
        <v>258</v>
      </c>
      <c r="C3" s="10">
        <f>B3*12</f>
        <v/>
      </c>
      <c r="D3" s="10">
        <f>B3*12</f>
        <v/>
      </c>
      <c r="E3" s="10">
        <f>B3*12</f>
        <v/>
      </c>
      <c r="F3" t="inlineStr">
        <is>
          <t>Data durability</t>
        </is>
      </c>
    </row>
    <row r="4">
      <c r="A4" t="inlineStr">
        <is>
          <t>DDoS/Edge Security</t>
        </is>
      </c>
      <c r="B4" s="10" t="n">
        <v>50</v>
      </c>
      <c r="C4" s="10">
        <f>B4*12</f>
        <v/>
      </c>
      <c r="D4" s="10">
        <f>B4*12</f>
        <v/>
      </c>
      <c r="E4" s="10">
        <f>B4*12</f>
        <v/>
      </c>
      <c r="F4" t="inlineStr">
        <is>
          <t>Security</t>
        </is>
      </c>
    </row>
    <row r="5">
      <c r="A5" t="inlineStr">
        <is>
          <t>Monitoring</t>
        </is>
      </c>
      <c r="B5" s="10" t="n">
        <v>20</v>
      </c>
      <c r="C5" s="10">
        <f>B5*12</f>
        <v/>
      </c>
      <c r="D5" s="10">
        <f>B5*12</f>
        <v/>
      </c>
      <c r="E5" s="10">
        <f>B5*12</f>
        <v/>
      </c>
      <c r="F5" t="inlineStr">
        <is>
          <t>Observability</t>
        </is>
      </c>
    </row>
    <row r="6">
      <c r="A6" t="inlineStr">
        <is>
          <t>Bandwidth Reserve</t>
        </is>
      </c>
      <c r="B6" s="10" t="n">
        <v>80</v>
      </c>
      <c r="C6" s="10">
        <f>B6*12</f>
        <v/>
      </c>
      <c r="D6" s="10">
        <f>B6*12</f>
        <v/>
      </c>
      <c r="E6" s="10">
        <f>B6*12</f>
        <v/>
      </c>
      <c r="F6" t="inlineStr">
        <is>
          <t>Network</t>
        </is>
      </c>
    </row>
    <row r="7"/>
    <row r="8">
      <c r="A8" s="11" t="inlineStr">
        <is>
          <t>TOTAL</t>
        </is>
      </c>
      <c r="B8" s="10">
        <f>SUM(B2:B6)</f>
        <v/>
      </c>
      <c r="C8" s="10">
        <f>SUM(C2:C6)</f>
        <v/>
      </c>
      <c r="D8" s="10">
        <f>SUM(D2:D6)</f>
        <v/>
      </c>
      <c r="E8" s="10">
        <f>SUM(E2:E6)</f>
        <v/>
      </c>
    </row>
    <row r="9"/>
    <row r="10">
      <c r="A10" t="inlineStr">
        <is>
          <t>Users</t>
        </is>
      </c>
      <c r="B10">
        <f>Assumptions!B4</f>
        <v/>
      </c>
      <c r="C10">
        <f>Assumptions!C4</f>
        <v/>
      </c>
      <c r="D10">
        <f>Assumptions!D4</f>
        <v/>
      </c>
    </row>
    <row r="11">
      <c r="A11" t="inlineStr">
        <is>
          <t>Infra Cost per User</t>
        </is>
      </c>
      <c r="B11" s="10">
        <f>IF(B10=0,0,C8/B10)</f>
        <v/>
      </c>
      <c r="C11" s="10">
        <f>IF(C10=0,0,D8/C10)</f>
        <v/>
      </c>
      <c r="D11" s="10">
        <f>IF(D10=0,0,E8/D10)</f>
        <v/>
      </c>
      <c r="E11" s="10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20" customWidth="1" min="3" max="3"/>
    <col width="20" customWidth="1" min="4" max="4"/>
    <col width="20" customWidth="1" min="5" max="5"/>
    <col width="23" customWidth="1" min="6" max="6"/>
  </cols>
  <sheetData>
    <row r="1">
      <c r="A1" s="6" t="inlineStr">
        <is>
          <t>Category</t>
        </is>
      </c>
      <c r="B1" s="6" t="inlineStr">
        <is>
          <t>Monthly 2026</t>
        </is>
      </c>
      <c r="C1" s="6" t="inlineStr">
        <is>
          <t>Yearly 2026</t>
        </is>
      </c>
      <c r="D1" s="6" t="inlineStr">
        <is>
          <t>Yearly 2027</t>
        </is>
      </c>
      <c r="E1" s="6" t="inlineStr">
        <is>
          <t>Yearly 2028</t>
        </is>
      </c>
      <c r="F1" s="6" t="inlineStr">
        <is>
          <t>% 2026</t>
        </is>
      </c>
    </row>
    <row r="2">
      <c r="A2" t="inlineStr">
        <is>
          <t>R&amp;D &amp; Development</t>
        </is>
      </c>
      <c r="B2" s="10" t="n">
        <v>28000</v>
      </c>
      <c r="C2" s="10">
        <f>B2*12</f>
        <v/>
      </c>
      <c r="D2" s="10" t="n">
        <v>480000</v>
      </c>
      <c r="E2" s="10" t="n">
        <v>720000</v>
      </c>
      <c r="F2" s="9">
        <f>IF($C$9=0,0,C2/$C$9)</f>
        <v/>
      </c>
    </row>
    <row r="3">
      <c r="A3" t="inlineStr">
        <is>
          <t>Marketing &amp; Sales</t>
        </is>
      </c>
      <c r="B3" s="10" t="n">
        <v>18500</v>
      </c>
      <c r="C3" s="10">
        <f>B3*12</f>
        <v/>
      </c>
      <c r="D3" s="10" t="n">
        <v>400000</v>
      </c>
      <c r="E3" s="10" t="n">
        <v>800000</v>
      </c>
      <c r="F3" s="9">
        <f>IF($C$9=0,0,C3/$C$9)</f>
        <v/>
      </c>
    </row>
    <row r="4">
      <c r="A4" t="inlineStr">
        <is>
          <t>Operations</t>
        </is>
      </c>
      <c r="B4" s="10" t="n">
        <v>6500</v>
      </c>
      <c r="C4" s="10">
        <f>B4*12</f>
        <v/>
      </c>
      <c r="D4" s="10" t="n">
        <v>120000</v>
      </c>
      <c r="E4" s="10" t="n">
        <v>180000</v>
      </c>
      <c r="F4" s="9">
        <f>IF($C$9=0,0,C4/$C$9)</f>
        <v/>
      </c>
    </row>
    <row r="5">
      <c r="A5" t="inlineStr">
        <is>
          <t>Legal &amp; Admin</t>
        </is>
      </c>
      <c r="B5" s="10" t="n">
        <v>3000</v>
      </c>
      <c r="C5" s="10">
        <f>B5*12</f>
        <v/>
      </c>
      <c r="D5" s="10" t="n">
        <v>48000</v>
      </c>
      <c r="E5" s="10" t="n">
        <v>60000</v>
      </c>
      <c r="F5" s="9">
        <f>IF($C$9=0,0,C5/$C$9)</f>
        <v/>
      </c>
    </row>
    <row r="6">
      <c r="A6" t="inlineStr">
        <is>
          <t>Office &amp; Misc</t>
        </is>
      </c>
      <c r="B6" s="10" t="n">
        <v>1500</v>
      </c>
      <c r="C6" s="10">
        <f>B6*12</f>
        <v/>
      </c>
      <c r="D6" s="10" t="n">
        <v>24000</v>
      </c>
      <c r="E6" s="10" t="n">
        <v>36000</v>
      </c>
      <c r="F6" s="9">
        <f>IF($C$9=0,0,C6/$C$9)</f>
        <v/>
      </c>
    </row>
    <row r="7">
      <c r="A7" t="inlineStr">
        <is>
          <t>Infrastructure</t>
        </is>
      </c>
      <c r="B7" s="10">
        <f>Infrastructure!B8</f>
        <v/>
      </c>
      <c r="C7" s="10">
        <f>Infrastructure!C8</f>
        <v/>
      </c>
      <c r="D7" s="10">
        <f>Infrastructure!D8</f>
        <v/>
      </c>
      <c r="E7" s="10">
        <f>Infrastructure!E8</f>
        <v/>
      </c>
      <c r="F7" s="9">
        <f>IF($C$9=0,0,C7/$C$9)</f>
        <v/>
      </c>
    </row>
    <row r="8">
      <c r="B8" s="10" t="n"/>
      <c r="C8" s="10" t="n"/>
      <c r="D8" s="10" t="n"/>
      <c r="E8" s="10" t="n"/>
    </row>
    <row r="9">
      <c r="A9" s="11" t="inlineStr">
        <is>
          <t>TOTAL</t>
        </is>
      </c>
      <c r="B9" s="10">
        <f>SUM(B2:B7)</f>
        <v/>
      </c>
      <c r="C9" s="10">
        <f>SUM(C2:C7)</f>
        <v/>
      </c>
      <c r="D9" s="10">
        <f>SUM(D2:D7)</f>
        <v/>
      </c>
      <c r="E9" s="10">
        <f>SUM(E2:E7)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9" customWidth="1" min="3" max="3"/>
    <col width="19" customWidth="1" min="4" max="4"/>
    <col width="26" customWidth="1" min="5" max="5"/>
    <col width="26" customWidth="1" min="6" max="6"/>
  </cols>
  <sheetData>
    <row r="1">
      <c r="A1" s="6" t="inlineStr">
        <is>
          <t>Metric</t>
        </is>
      </c>
      <c r="B1" s="6" t="inlineStr">
        <is>
          <t>2026</t>
        </is>
      </c>
      <c r="C1" s="6" t="inlineStr">
        <is>
          <t>2027</t>
        </is>
      </c>
      <c r="D1" s="6" t="inlineStr">
        <is>
          <t>2028</t>
        </is>
      </c>
      <c r="E1" s="6" t="inlineStr">
        <is>
          <t>YoY 2027</t>
        </is>
      </c>
      <c r="F1" s="6" t="inlineStr">
        <is>
          <t>YoY 2028</t>
        </is>
      </c>
    </row>
    <row r="2">
      <c r="A2" t="inlineStr">
        <is>
          <t>Total Revenue</t>
        </is>
      </c>
      <c r="B2" s="10">
        <f>Revenue_Model!F9</f>
        <v/>
      </c>
      <c r="C2" s="10">
        <f>Revenue_Model!G9</f>
        <v/>
      </c>
      <c r="D2" s="10">
        <f>Revenue_Model!H9</f>
        <v/>
      </c>
      <c r="E2" s="9">
        <f>IF(B2=0,0,C2/B2-1)</f>
        <v/>
      </c>
      <c r="F2" s="9">
        <f>IF(C2=0,0,D2/C2-1)</f>
        <v/>
      </c>
    </row>
    <row r="3">
      <c r="A3" t="inlineStr">
        <is>
          <t>Total Expenses</t>
        </is>
      </c>
      <c r="B3" s="10">
        <f>OPEX!C9</f>
        <v/>
      </c>
      <c r="C3" s="10">
        <f>OPEX!D9</f>
        <v/>
      </c>
      <c r="D3" s="10">
        <f>OPEX!E9</f>
        <v/>
      </c>
      <c r="E3" s="9">
        <f>IF(B3=0,0,C3/B3-1)</f>
        <v/>
      </c>
      <c r="F3" s="9">
        <f>IF(C3=0,0,D3/C3-1)</f>
        <v/>
      </c>
    </row>
    <row r="4">
      <c r="A4" t="inlineStr">
        <is>
          <t>EBITDA</t>
        </is>
      </c>
      <c r="B4" s="10">
        <f>B2-B3</f>
        <v/>
      </c>
      <c r="C4" s="10">
        <f>C2-C3</f>
        <v/>
      </c>
      <c r="D4" s="10">
        <f>D2-D3</f>
        <v/>
      </c>
      <c r="E4" s="9">
        <f>IF(ABS(B4)&lt;1,0,C4/B4-1)</f>
        <v/>
      </c>
      <c r="F4" s="9">
        <f>IF(ABS(C4)&lt;1,0,D4/C4-1)</f>
        <v/>
      </c>
    </row>
    <row r="5">
      <c r="A5" t="inlineStr">
        <is>
          <t>EBITDA Margin</t>
        </is>
      </c>
      <c r="B5" s="9">
        <f>IF(B2=0,0,B4/B2)</f>
        <v/>
      </c>
      <c r="C5" s="9">
        <f>IF(C2=0,0,C4/C2)</f>
        <v/>
      </c>
      <c r="D5" s="9">
        <f>IF(D2=0,0,D4/D2)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7" customWidth="1" min="3" max="3"/>
    <col width="21" customWidth="1" min="4" max="4"/>
    <col width="21" customWidth="1" min="5" max="5"/>
    <col width="21" customWidth="1" min="6" max="6"/>
    <col width="14" customWidth="1" min="7" max="7"/>
    <col width="20" customWidth="1" min="8" max="8"/>
    <col width="14" customWidth="1" min="9" max="9"/>
    <col width="14" customWidth="1" min="10" max="10"/>
    <col width="28" customWidth="1" min="11" max="11"/>
  </cols>
  <sheetData>
    <row r="1">
      <c r="A1" s="6" t="inlineStr">
        <is>
          <t>Month</t>
        </is>
      </c>
      <c r="B1" s="6" t="inlineStr">
        <is>
          <t>Users</t>
        </is>
      </c>
      <c r="C1" s="6" t="inlineStr">
        <is>
          <t>Paid Users</t>
        </is>
      </c>
      <c r="D1" s="6" t="inlineStr">
        <is>
          <t>New Paid</t>
        </is>
      </c>
      <c r="E1" s="6" t="inlineStr">
        <is>
          <t>Churned Paid</t>
        </is>
      </c>
      <c r="F1" s="6" t="inlineStr">
        <is>
          <t>MRR</t>
        </is>
      </c>
      <c r="G1" s="6" t="inlineStr">
        <is>
          <t>Revenue</t>
        </is>
      </c>
      <c r="H1" s="6" t="inlineStr">
        <is>
          <t>COGS(Infra)</t>
        </is>
      </c>
      <c r="I1" s="6" t="inlineStr">
        <is>
          <t>Gross Profit</t>
        </is>
      </c>
      <c r="J1" s="6" t="inlineStr">
        <is>
          <t>Burn</t>
        </is>
      </c>
      <c r="K1" s="6" t="inlineStr">
        <is>
          <t>Runway (months)</t>
        </is>
      </c>
    </row>
    <row r="2">
      <c r="A2" t="inlineStr">
        <is>
          <t>Jan</t>
        </is>
      </c>
      <c r="B2" s="7">
        <f>Assumptions!B4</f>
        <v/>
      </c>
      <c r="C2" s="7">
        <f>Assumptions!B5</f>
        <v/>
      </c>
      <c r="D2" s="7">
        <f>C2*Assumptions!B8</f>
        <v/>
      </c>
      <c r="E2" s="7">
        <f>C2*Assumptions!B7</f>
        <v/>
      </c>
      <c r="F2" s="10">
        <f>C2*Assumptions!B6</f>
        <v/>
      </c>
      <c r="G2" s="10">
        <f>F2</f>
        <v/>
      </c>
      <c r="H2" s="10">
        <f>Infrastructure!B8</f>
        <v/>
      </c>
      <c r="I2" s="10">
        <f>G2-H2</f>
        <v/>
      </c>
      <c r="J2" s="10">
        <f>OPEX!B9-I2</f>
        <v/>
      </c>
      <c r="K2" s="8">
        <f>IF(J2&lt;=0,999,600000/J2)</f>
        <v/>
      </c>
    </row>
    <row r="3">
      <c r="A3" t="inlineStr">
        <is>
          <t>Feb</t>
        </is>
      </c>
      <c r="B3" s="7">
        <f>B2*(1+Assumptions!B12)</f>
        <v/>
      </c>
      <c r="C3" s="7">
        <f>C2+D2-E2</f>
        <v/>
      </c>
      <c r="D3" s="7">
        <f>B3*Assumptions!B8</f>
        <v/>
      </c>
      <c r="E3" s="7">
        <f>C2*Assumptions!B7</f>
        <v/>
      </c>
      <c r="F3" s="10">
        <f>C3*Assumptions!B6</f>
        <v/>
      </c>
      <c r="G3" s="10">
        <f>F3</f>
        <v/>
      </c>
      <c r="H3" s="10">
        <f>Infrastructure!B8</f>
        <v/>
      </c>
      <c r="I3" s="10">
        <f>G3-H3</f>
        <v/>
      </c>
      <c r="J3" s="10">
        <f>OPEX!B9-I3</f>
        <v/>
      </c>
      <c r="K3" s="8">
        <f>IF(J3&lt;=0,999,600000/J3)</f>
        <v/>
      </c>
    </row>
    <row r="4">
      <c r="A4" t="inlineStr">
        <is>
          <t>Mar</t>
        </is>
      </c>
      <c r="B4" s="7">
        <f>B3*(1+Assumptions!B12)</f>
        <v/>
      </c>
      <c r="C4" s="7">
        <f>C3+D3-E3</f>
        <v/>
      </c>
      <c r="D4" s="7">
        <f>B4*Assumptions!B8</f>
        <v/>
      </c>
      <c r="E4" s="7">
        <f>C3*Assumptions!B7</f>
        <v/>
      </c>
      <c r="F4" s="10">
        <f>C4*Assumptions!B6</f>
        <v/>
      </c>
      <c r="G4" s="10">
        <f>F4</f>
        <v/>
      </c>
      <c r="H4" s="10">
        <f>Infrastructure!B8</f>
        <v/>
      </c>
      <c r="I4" s="10">
        <f>G4-H4</f>
        <v/>
      </c>
      <c r="J4" s="10">
        <f>OPEX!B9-I4</f>
        <v/>
      </c>
      <c r="K4" s="8">
        <f>IF(J4&lt;=0,999,600000/J4)</f>
        <v/>
      </c>
    </row>
    <row r="5">
      <c r="A5" t="inlineStr">
        <is>
          <t>Apr</t>
        </is>
      </c>
      <c r="B5" s="7">
        <f>B4*(1+Assumptions!B12)</f>
        <v/>
      </c>
      <c r="C5" s="7">
        <f>C4+D4-E4</f>
        <v/>
      </c>
      <c r="D5" s="7">
        <f>B5*Assumptions!B8</f>
        <v/>
      </c>
      <c r="E5" s="7">
        <f>C4*Assumptions!B7</f>
        <v/>
      </c>
      <c r="F5" s="10">
        <f>C5*Assumptions!B6</f>
        <v/>
      </c>
      <c r="G5" s="10">
        <f>F5</f>
        <v/>
      </c>
      <c r="H5" s="10">
        <f>Infrastructure!B8</f>
        <v/>
      </c>
      <c r="I5" s="10">
        <f>G5-H5</f>
        <v/>
      </c>
      <c r="J5" s="10">
        <f>OPEX!B9-I5</f>
        <v/>
      </c>
      <c r="K5" s="8">
        <f>IF(J5&lt;=0,999,600000/J5)</f>
        <v/>
      </c>
    </row>
    <row r="6">
      <c r="A6" t="inlineStr">
        <is>
          <t>May</t>
        </is>
      </c>
      <c r="B6" s="7">
        <f>B5*(1+Assumptions!B12)</f>
        <v/>
      </c>
      <c r="C6" s="7">
        <f>C5+D5-E5</f>
        <v/>
      </c>
      <c r="D6" s="7">
        <f>B6*Assumptions!B8</f>
        <v/>
      </c>
      <c r="E6" s="7">
        <f>C5*Assumptions!B7</f>
        <v/>
      </c>
      <c r="F6" s="10">
        <f>C6*Assumptions!B6</f>
        <v/>
      </c>
      <c r="G6" s="10">
        <f>F6</f>
        <v/>
      </c>
      <c r="H6" s="10">
        <f>Infrastructure!B8</f>
        <v/>
      </c>
      <c r="I6" s="10">
        <f>G6-H6</f>
        <v/>
      </c>
      <c r="J6" s="10">
        <f>OPEX!B9-I6</f>
        <v/>
      </c>
      <c r="K6" s="8">
        <f>IF(J6&lt;=0,999,600000/J6)</f>
        <v/>
      </c>
    </row>
    <row r="7">
      <c r="A7" t="inlineStr">
        <is>
          <t>Jun</t>
        </is>
      </c>
      <c r="B7" s="7">
        <f>B6*(1+Assumptions!B12)</f>
        <v/>
      </c>
      <c r="C7" s="7">
        <f>C6+D6-E6</f>
        <v/>
      </c>
      <c r="D7" s="7">
        <f>B7*Assumptions!B8</f>
        <v/>
      </c>
      <c r="E7" s="7">
        <f>C6*Assumptions!B7</f>
        <v/>
      </c>
      <c r="F7" s="10">
        <f>C7*Assumptions!B6</f>
        <v/>
      </c>
      <c r="G7" s="10">
        <f>F7</f>
        <v/>
      </c>
      <c r="H7" s="10">
        <f>Infrastructure!B8</f>
        <v/>
      </c>
      <c r="I7" s="10">
        <f>G7-H7</f>
        <v/>
      </c>
      <c r="J7" s="10">
        <f>OPEX!B9-I7</f>
        <v/>
      </c>
      <c r="K7" s="8">
        <f>IF(J7&lt;=0,999,600000/J7)</f>
        <v/>
      </c>
    </row>
    <row r="8">
      <c r="A8" t="inlineStr">
        <is>
          <t>Jul</t>
        </is>
      </c>
      <c r="B8" s="7">
        <f>B7*(1+Assumptions!B12)</f>
        <v/>
      </c>
      <c r="C8" s="7">
        <f>C7+D7-E7</f>
        <v/>
      </c>
      <c r="D8" s="7">
        <f>B8*Assumptions!B8</f>
        <v/>
      </c>
      <c r="E8" s="7">
        <f>C7*Assumptions!B7</f>
        <v/>
      </c>
      <c r="F8" s="10">
        <f>C8*Assumptions!B6</f>
        <v/>
      </c>
      <c r="G8" s="10">
        <f>F8</f>
        <v/>
      </c>
      <c r="H8" s="10">
        <f>Infrastructure!B8</f>
        <v/>
      </c>
      <c r="I8" s="10">
        <f>G8-H8</f>
        <v/>
      </c>
      <c r="J8" s="10">
        <f>OPEX!B9-I8</f>
        <v/>
      </c>
      <c r="K8" s="8">
        <f>IF(J8&lt;=0,999,600000/J8)</f>
        <v/>
      </c>
    </row>
    <row r="9">
      <c r="A9" t="inlineStr">
        <is>
          <t>Aug</t>
        </is>
      </c>
      <c r="B9" s="7">
        <f>B8*(1+Assumptions!B12)</f>
        <v/>
      </c>
      <c r="C9" s="7">
        <f>C8+D8-E8</f>
        <v/>
      </c>
      <c r="D9" s="7">
        <f>B9*Assumptions!B8</f>
        <v/>
      </c>
      <c r="E9" s="7">
        <f>C8*Assumptions!B7</f>
        <v/>
      </c>
      <c r="F9" s="10">
        <f>C9*Assumptions!B6</f>
        <v/>
      </c>
      <c r="G9" s="10">
        <f>F9</f>
        <v/>
      </c>
      <c r="H9" s="10">
        <f>Infrastructure!B8</f>
        <v/>
      </c>
      <c r="I9" s="10">
        <f>G9-H9</f>
        <v/>
      </c>
      <c r="J9" s="10">
        <f>OPEX!B9-I9</f>
        <v/>
      </c>
      <c r="K9" s="8">
        <f>IF(J9&lt;=0,999,600000/J9)</f>
        <v/>
      </c>
    </row>
    <row r="10">
      <c r="A10" t="inlineStr">
        <is>
          <t>Sep</t>
        </is>
      </c>
      <c r="B10" s="7">
        <f>B9*(1+Assumptions!B12)</f>
        <v/>
      </c>
      <c r="C10" s="7">
        <f>C9+D9-E9</f>
        <v/>
      </c>
      <c r="D10" s="7">
        <f>B10*Assumptions!B8</f>
        <v/>
      </c>
      <c r="E10" s="7">
        <f>C9*Assumptions!B7</f>
        <v/>
      </c>
      <c r="F10" s="10">
        <f>C10*Assumptions!B6</f>
        <v/>
      </c>
      <c r="G10" s="10">
        <f>F10</f>
        <v/>
      </c>
      <c r="H10" s="10">
        <f>Infrastructure!B8</f>
        <v/>
      </c>
      <c r="I10" s="10">
        <f>G10-H10</f>
        <v/>
      </c>
      <c r="J10" s="10">
        <f>OPEX!B9-I10</f>
        <v/>
      </c>
      <c r="K10" s="8">
        <f>IF(J10&lt;=0,999,600000/J10)</f>
        <v/>
      </c>
    </row>
    <row r="11">
      <c r="A11" t="inlineStr">
        <is>
          <t>Oct</t>
        </is>
      </c>
      <c r="B11" s="7">
        <f>B10*(1+Assumptions!B12)</f>
        <v/>
      </c>
      <c r="C11" s="7">
        <f>C10+D10-E10</f>
        <v/>
      </c>
      <c r="D11" s="7">
        <f>B11*Assumptions!B8</f>
        <v/>
      </c>
      <c r="E11" s="7">
        <f>C10*Assumptions!B7</f>
        <v/>
      </c>
      <c r="F11" s="10">
        <f>C11*Assumptions!B6</f>
        <v/>
      </c>
      <c r="G11" s="10">
        <f>F11</f>
        <v/>
      </c>
      <c r="H11" s="10">
        <f>Infrastructure!B8</f>
        <v/>
      </c>
      <c r="I11" s="10">
        <f>G11-H11</f>
        <v/>
      </c>
      <c r="J11" s="10">
        <f>OPEX!B9-I11</f>
        <v/>
      </c>
      <c r="K11" s="8">
        <f>IF(J11&lt;=0,999,600000/J11)</f>
        <v/>
      </c>
    </row>
    <row r="12">
      <c r="A12" t="inlineStr">
        <is>
          <t>Nov</t>
        </is>
      </c>
      <c r="B12" s="7">
        <f>B11*(1+Assumptions!B12)</f>
        <v/>
      </c>
      <c r="C12" s="7">
        <f>C11+D11-E11</f>
        <v/>
      </c>
      <c r="D12" s="7">
        <f>B12*Assumptions!B8</f>
        <v/>
      </c>
      <c r="E12" s="7">
        <f>C11*Assumptions!B7</f>
        <v/>
      </c>
      <c r="F12" s="10">
        <f>C12*Assumptions!B6</f>
        <v/>
      </c>
      <c r="G12" s="10">
        <f>F12</f>
        <v/>
      </c>
      <c r="H12" s="10">
        <f>Infrastructure!B8</f>
        <v/>
      </c>
      <c r="I12" s="10">
        <f>G12-H12</f>
        <v/>
      </c>
      <c r="J12" s="10">
        <f>OPEX!B9-I12</f>
        <v/>
      </c>
      <c r="K12" s="8">
        <f>IF(J12&lt;=0,999,600000/J12)</f>
        <v/>
      </c>
    </row>
    <row r="13">
      <c r="A13" t="inlineStr">
        <is>
          <t>Dec</t>
        </is>
      </c>
      <c r="B13" s="7">
        <f>B12*(1+Assumptions!B12)</f>
        <v/>
      </c>
      <c r="C13" s="7">
        <f>C12+D12-E12</f>
        <v/>
      </c>
      <c r="D13" s="7">
        <f>B13*Assumptions!B8</f>
        <v/>
      </c>
      <c r="E13" s="7">
        <f>C12*Assumptions!B7</f>
        <v/>
      </c>
      <c r="F13" s="10">
        <f>C13*Assumptions!B6</f>
        <v/>
      </c>
      <c r="G13" s="10">
        <f>F13</f>
        <v/>
      </c>
      <c r="H13" s="10">
        <f>Infrastructure!B8</f>
        <v/>
      </c>
      <c r="I13" s="10">
        <f>G13-H13</f>
        <v/>
      </c>
      <c r="J13" s="10">
        <f>OPEX!B9-I13</f>
        <v/>
      </c>
      <c r="K13" s="8">
        <f>IF(J13&lt;=0,999,600000/J13)</f>
        <v/>
      </c>
    </row>
    <row r="14">
      <c r="B14" s="7" t="n"/>
      <c r="C14" s="7" t="n"/>
      <c r="D14" s="7" t="n"/>
      <c r="E14" s="7" t="n"/>
      <c r="F14" s="10" t="n"/>
      <c r="G14" s="10" t="n"/>
      <c r="H14" s="10" t="n"/>
      <c r="I14" s="10" t="n"/>
      <c r="J14" s="10" t="n"/>
      <c r="K14" s="8" t="n"/>
    </row>
    <row r="15">
      <c r="A15" t="inlineStr">
        <is>
          <t>Totals</t>
        </is>
      </c>
      <c r="B15" s="7" t="n"/>
      <c r="C15" s="7" t="n"/>
      <c r="D15" s="7" t="n"/>
      <c r="E15" s="7" t="n"/>
      <c r="F15" s="10" t="n"/>
      <c r="G15" s="10">
        <f>SUM(G2:G13)</f>
        <v/>
      </c>
      <c r="H15" s="10" t="n"/>
      <c r="I15" s="10" t="n"/>
      <c r="J15" s="10">
        <f>SUM(J2:J13)</f>
        <v/>
      </c>
      <c r="K15" s="8">
        <f>AVERAGE(K2:K13)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13" customWidth="1" min="4" max="4"/>
    <col width="19" customWidth="1" min="5" max="5"/>
    <col width="31" customWidth="1" min="6" max="6"/>
  </cols>
  <sheetData>
    <row r="1">
      <c r="A1" s="6" t="inlineStr">
        <is>
          <t>Scenario</t>
        </is>
      </c>
      <c r="B1" s="6" t="inlineStr">
        <is>
          <t>Revenue 2028</t>
        </is>
      </c>
      <c r="C1" s="6" t="inlineStr">
        <is>
          <t>Expenses 2028</t>
        </is>
      </c>
      <c r="D1" s="6" t="inlineStr">
        <is>
          <t>EBITDA 2028</t>
        </is>
      </c>
      <c r="E1" s="6" t="inlineStr">
        <is>
          <t>EBITDA Margin</t>
        </is>
      </c>
      <c r="F1" s="6" t="inlineStr">
        <is>
          <t>Implied Valuation (8x EBITDA)</t>
        </is>
      </c>
    </row>
    <row r="2">
      <c r="A2" t="inlineStr">
        <is>
          <t>Bear</t>
        </is>
      </c>
      <c r="B2" s="10">
        <f>PnL_3Y!D2*Assumptions!B17</f>
        <v/>
      </c>
      <c r="C2" s="10">
        <f>PnL_3Y!D3*Assumptions!C17</f>
        <v/>
      </c>
      <c r="D2" s="10">
        <f>B2-C2</f>
        <v/>
      </c>
      <c r="E2" s="9">
        <f>IF(B2=0,0,D2/B2)</f>
        <v/>
      </c>
      <c r="F2" s="10">
        <f>D2*8</f>
        <v/>
      </c>
    </row>
    <row r="3">
      <c r="A3" t="inlineStr">
        <is>
          <t>Base</t>
        </is>
      </c>
      <c r="B3" s="10">
        <f>PnL_3Y!D2*Assumptions!B18</f>
        <v/>
      </c>
      <c r="C3" s="10">
        <f>PnL_3Y!D3*Assumptions!C18</f>
        <v/>
      </c>
      <c r="D3" s="10">
        <f>B3-C3</f>
        <v/>
      </c>
      <c r="E3" s="9">
        <f>IF(B3=0,0,D3/B3)</f>
        <v/>
      </c>
      <c r="F3" s="10">
        <f>D3*8</f>
        <v/>
      </c>
    </row>
    <row r="4">
      <c r="A4" t="inlineStr">
        <is>
          <t>Bull</t>
        </is>
      </c>
      <c r="B4" s="10">
        <f>PnL_3Y!D2*Assumptions!B19</f>
        <v/>
      </c>
      <c r="C4" s="10">
        <f>PnL_3Y!D3*Assumptions!C19</f>
        <v/>
      </c>
      <c r="D4" s="10">
        <f>B4-C4</f>
        <v/>
      </c>
      <c r="E4" s="9">
        <f>IF(B4=0,0,D4/B4)</f>
        <v/>
      </c>
      <c r="F4" s="10">
        <f>D4*8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  <col width="12" customWidth="1" min="7" max="7"/>
  </cols>
  <sheetData>
    <row r="1">
      <c r="A1" s="5" t="inlineStr">
        <is>
          <t>Sensitivity Matrix: LTV/CAC by Conversion and Churn</t>
        </is>
      </c>
    </row>
    <row r="2"/>
    <row r="3">
      <c r="A3" s="6" t="inlineStr">
        <is>
          <t>Conv/Churn</t>
        </is>
      </c>
      <c r="B3" s="12" t="n">
        <v>0.015</v>
      </c>
      <c r="C3" s="12" t="n">
        <v>0.02</v>
      </c>
      <c r="D3" s="12" t="n">
        <v>0.025</v>
      </c>
      <c r="E3" s="12" t="n">
        <v>0.03</v>
      </c>
      <c r="F3" s="12" t="n">
        <v>0.035</v>
      </c>
    </row>
    <row r="4">
      <c r="A4" s="12" t="n">
        <v>0.03</v>
      </c>
      <c r="B4" s="13">
        <f>((Assumptions!B6*0.85)/B3)/(Assumptions!B10/400)</f>
        <v/>
      </c>
      <c r="C4" s="13">
        <f>((Assumptions!B6*0.85)/C3)/(Assumptions!B10/400)</f>
        <v/>
      </c>
      <c r="D4" s="13">
        <f>((Assumptions!B6*0.85)/D3)/(Assumptions!B10/400)</f>
        <v/>
      </c>
      <c r="E4" s="13">
        <f>((Assumptions!B6*0.85)/E3)/(Assumptions!B10/400)</f>
        <v/>
      </c>
      <c r="F4" s="13">
        <f>((Assumptions!B6*0.85)/F3)/(Assumptions!B10/400)</f>
        <v/>
      </c>
    </row>
    <row r="5">
      <c r="A5" s="12" t="n">
        <v>0.04</v>
      </c>
      <c r="B5" s="13">
        <f>((Assumptions!B6*0.85)/B3)/(Assumptions!B10/500)</f>
        <v/>
      </c>
      <c r="C5" s="13">
        <f>((Assumptions!B6*0.85)/C3)/(Assumptions!B10/500)</f>
        <v/>
      </c>
      <c r="D5" s="13">
        <f>((Assumptions!B6*0.85)/D3)/(Assumptions!B10/500)</f>
        <v/>
      </c>
      <c r="E5" s="13">
        <f>((Assumptions!B6*0.85)/E3)/(Assumptions!B10/500)</f>
        <v/>
      </c>
      <c r="F5" s="13">
        <f>((Assumptions!B6*0.85)/F3)/(Assumptions!B10/500)</f>
        <v/>
      </c>
    </row>
    <row r="6">
      <c r="A6" s="12" t="n">
        <v>0.05</v>
      </c>
      <c r="B6" s="13">
        <f>((Assumptions!B6*0.85)/B3)/(Assumptions!B10/600)</f>
        <v/>
      </c>
      <c r="C6" s="13">
        <f>((Assumptions!B6*0.85)/C3)/(Assumptions!B10/600)</f>
        <v/>
      </c>
      <c r="D6" s="13">
        <f>((Assumptions!B6*0.85)/D3)/(Assumptions!B10/600)</f>
        <v/>
      </c>
      <c r="E6" s="13">
        <f>((Assumptions!B6*0.85)/E3)/(Assumptions!B10/600)</f>
        <v/>
      </c>
      <c r="F6" s="13">
        <f>((Assumptions!B6*0.85)/F3)/(Assumptions!B10/600)</f>
        <v/>
      </c>
    </row>
    <row r="7">
      <c r="A7" s="12" t="n">
        <v>0.06</v>
      </c>
      <c r="B7" s="13">
        <f>((Assumptions!B6*0.85)/B3)/(Assumptions!B10/700)</f>
        <v/>
      </c>
      <c r="C7" s="13">
        <f>((Assumptions!B6*0.85)/C3)/(Assumptions!B10/700)</f>
        <v/>
      </c>
      <c r="D7" s="13">
        <f>((Assumptions!B6*0.85)/D3)/(Assumptions!B10/700)</f>
        <v/>
      </c>
      <c r="E7" s="13">
        <f>((Assumptions!B6*0.85)/E3)/(Assumptions!B10/700)</f>
        <v/>
      </c>
      <c r="F7" s="13">
        <f>((Assumptions!B6*0.85)/F3)/(Assumptions!B10/700)</f>
        <v/>
      </c>
    </row>
    <row r="8">
      <c r="A8" s="12" t="n">
        <v>0.07000000000000001</v>
      </c>
      <c r="B8" s="13">
        <f>((Assumptions!B6*0.85)/B3)/(Assumptions!B10/800)</f>
        <v/>
      </c>
      <c r="C8" s="13">
        <f>((Assumptions!B6*0.85)/C3)/(Assumptions!B10/800)</f>
        <v/>
      </c>
      <c r="D8" s="13">
        <f>((Assumptions!B6*0.85)/D3)/(Assumptions!B10/800)</f>
        <v/>
      </c>
      <c r="E8" s="13">
        <f>((Assumptions!B6*0.85)/E3)/(Assumptions!B10/800)</f>
        <v/>
      </c>
      <c r="F8" s="13">
        <f>((Assumptions!B6*0.85)/F3)/(Assumptions!B10/800)</f>
        <v/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44" customWidth="1" min="3" max="3"/>
    <col width="44" customWidth="1" min="4" max="4"/>
    <col width="41" customWidth="1" min="5" max="5"/>
  </cols>
  <sheetData>
    <row r="1">
      <c r="A1" s="6" t="inlineStr">
        <is>
          <t>Metric</t>
        </is>
      </c>
      <c r="B1" s="6" t="inlineStr">
        <is>
          <t>2026</t>
        </is>
      </c>
      <c r="C1" s="6" t="inlineStr">
        <is>
          <t>2027</t>
        </is>
      </c>
      <c r="D1" s="6" t="inlineStr">
        <is>
          <t>2028</t>
        </is>
      </c>
      <c r="E1" s="6" t="inlineStr">
        <is>
          <t>Interpretation</t>
        </is>
      </c>
    </row>
    <row r="2">
      <c r="A2" t="inlineStr">
        <is>
          <t>CAC</t>
        </is>
      </c>
      <c r="B2" s="10">
        <f>Assumptions!B10</f>
        <v/>
      </c>
      <c r="C2" s="10">
        <f>Assumptions!C10</f>
        <v/>
      </c>
      <c r="D2" s="10">
        <f>Assumptions!D10</f>
        <v/>
      </c>
      <c r="E2" t="inlineStr">
        <is>
          <t>Marketing cost to acquire one paid user</t>
        </is>
      </c>
    </row>
    <row r="3">
      <c r="A3" t="inlineStr">
        <is>
          <t>ARPU Monthly</t>
        </is>
      </c>
      <c r="B3" s="10">
        <f>Assumptions!B6</f>
        <v/>
      </c>
      <c r="C3" s="10">
        <f>Assumptions!C6</f>
        <v/>
      </c>
      <c r="D3" s="10">
        <f>Assumptions!D6</f>
        <v/>
      </c>
      <c r="E3" t="inlineStr">
        <is>
          <t>Average paid revenue per month</t>
        </is>
      </c>
    </row>
    <row r="4">
      <c r="A4" t="inlineStr">
        <is>
          <t>Gross Margin</t>
        </is>
      </c>
      <c r="B4" s="9">
        <f>IF(PnL_3Y!B2=0,0,(PnL_3Y!B2-Infrastructure!C8)/PnL_3Y!B2)</f>
        <v/>
      </c>
      <c r="C4" s="9">
        <f>IF(PnL_3Y!C2=0,0,(PnL_3Y!C2-Infrastructure!D8)/PnL_3Y!C2)</f>
        <v/>
      </c>
      <c r="D4" s="9">
        <f>IF(PnL_3Y!D2=0,0,(PnL_3Y!D2-Infrastructure!E8)/PnL_3Y!D2)</f>
        <v/>
      </c>
      <c r="E4" t="inlineStr">
        <is>
          <t>Revenue after infra costs</t>
        </is>
      </c>
    </row>
    <row r="5">
      <c r="A5" t="inlineStr">
        <is>
          <t>Churn</t>
        </is>
      </c>
      <c r="B5" s="9">
        <f>Assumptions!B7</f>
        <v/>
      </c>
      <c r="C5" s="9">
        <f>Assumptions!C7</f>
        <v/>
      </c>
      <c r="D5" s="9">
        <f>Assumptions!D7</f>
        <v/>
      </c>
      <c r="E5" t="inlineStr">
        <is>
          <t>Monthly paid-user churn</t>
        </is>
      </c>
    </row>
    <row r="6">
      <c r="A6" t="inlineStr">
        <is>
          <t>LTV</t>
        </is>
      </c>
      <c r="B6" s="10">
        <f>IF(B5=0,0,(B3*B4)/B5)</f>
        <v/>
      </c>
      <c r="C6" s="10">
        <f>IF(C5=0,0,(C3*C4)/C5)</f>
        <v/>
      </c>
      <c r="D6" s="10">
        <f>IF(D5=0,0,(D3*D4)/D5)</f>
        <v/>
      </c>
      <c r="E6" t="inlineStr">
        <is>
          <t>Lifetime value</t>
        </is>
      </c>
    </row>
    <row r="7">
      <c r="A7" t="inlineStr">
        <is>
          <t>LTV/CAC</t>
        </is>
      </c>
      <c r="B7" s="13">
        <f>IF(B2=0,0,B6/B2)</f>
        <v/>
      </c>
      <c r="C7" s="13">
        <f>IF(C2=0,0,C6/C2)</f>
        <v/>
      </c>
      <c r="D7" s="13">
        <f>IF(D2=0,0,D6/D2)</f>
        <v/>
      </c>
      <c r="E7" t="inlineStr">
        <is>
          <t>Unit economics quality</t>
        </is>
      </c>
    </row>
    <row r="8">
      <c r="A8" t="inlineStr">
        <is>
          <t>Payback (months)</t>
        </is>
      </c>
      <c r="B8" s="8">
        <f>IF(B3*B4=0,0,B2/(B3*B4))</f>
        <v/>
      </c>
      <c r="C8" s="8">
        <f>IF(C3*C4=0,0,C2/(C3*C4))</f>
        <v/>
      </c>
      <c r="D8" s="8">
        <f>IF(D3*D4=0,0,D2/(D3*D4))</f>
        <v/>
      </c>
      <c r="E8" t="inlineStr">
        <is>
          <t>Time to recover CAC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3" customWidth="1" min="3" max="3"/>
    <col width="12" customWidth="1" min="4" max="4"/>
    <col width="12" customWidth="1" min="5" max="5"/>
    <col width="12" customWidth="1" min="6" max="6"/>
  </cols>
  <sheetData>
    <row r="1">
      <c r="A1" s="6" t="inlineStr">
        <is>
          <t>Category</t>
        </is>
      </c>
      <c r="B1" s="6" t="inlineStr">
        <is>
          <t>Amount</t>
        </is>
      </c>
      <c r="C1" s="6" t="inlineStr">
        <is>
          <t>%</t>
        </is>
      </c>
      <c r="E1" t="inlineStr">
        <is>
          <t>Seed Round</t>
        </is>
      </c>
      <c r="F1" s="10" t="n">
        <v>600000</v>
      </c>
    </row>
    <row r="2">
      <c r="A2" t="inlineStr">
        <is>
          <t>Product Development</t>
        </is>
      </c>
      <c r="B2" s="10" t="n">
        <v>240000</v>
      </c>
      <c r="C2" s="9">
        <f>B2/$F$1</f>
        <v/>
      </c>
    </row>
    <row r="3">
      <c r="A3" t="inlineStr">
        <is>
          <t>Marketing Launch</t>
        </is>
      </c>
      <c r="B3" s="10" t="n">
        <v>180000</v>
      </c>
      <c r="C3" s="9">
        <f>B3/$F$1</f>
        <v/>
      </c>
    </row>
    <row r="4">
      <c r="A4" t="inlineStr">
        <is>
          <t>Infrastructure</t>
        </is>
      </c>
      <c r="B4" s="10" t="n">
        <v>60000</v>
      </c>
      <c r="C4" s="9">
        <f>B4/$F$1</f>
        <v/>
      </c>
    </row>
    <row r="5">
      <c r="A5" t="inlineStr">
        <is>
          <t>Team Expansion</t>
        </is>
      </c>
      <c r="B5" s="10" t="n">
        <v>90000</v>
      </c>
      <c r="C5" s="9">
        <f>B5/$F$1</f>
        <v/>
      </c>
    </row>
    <row r="6">
      <c r="A6" t="inlineStr">
        <is>
          <t>Operations &amp; Buffer</t>
        </is>
      </c>
      <c r="B6" s="10" t="n">
        <v>30000</v>
      </c>
      <c r="C6" s="9">
        <f>B6/$F$1</f>
        <v/>
      </c>
    </row>
    <row r="7">
      <c r="B7" s="10" t="n"/>
      <c r="C7" s="9" t="n"/>
    </row>
    <row r="8">
      <c r="A8" t="inlineStr">
        <is>
          <t>TOTAL</t>
        </is>
      </c>
      <c r="B8" s="10">
        <f>SUM(B2:B6)</f>
        <v/>
      </c>
      <c r="C8" s="9">
        <f>SUM(C2:C6)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8" customWidth="1" min="3" max="3"/>
    <col width="28" customWidth="1" min="4" max="4"/>
    <col width="12" customWidth="1" min="5" max="5"/>
  </cols>
  <sheetData>
    <row r="1">
      <c r="A1" s="6" t="inlineStr">
        <is>
          <t>KPI</t>
        </is>
      </c>
      <c r="B1" s="6" t="inlineStr">
        <is>
          <t>Current</t>
        </is>
      </c>
      <c r="C1" s="6" t="inlineStr">
        <is>
          <t>Target 2026</t>
        </is>
      </c>
      <c r="D1" s="6" t="inlineStr">
        <is>
          <t>Target 2028</t>
        </is>
      </c>
      <c r="E1" s="6" t="inlineStr">
        <is>
          <t>Status</t>
        </is>
      </c>
    </row>
    <row r="2">
      <c r="A2" t="inlineStr">
        <is>
          <t>MRR</t>
        </is>
      </c>
      <c r="B2" s="10" t="n">
        <v>8500</v>
      </c>
      <c r="C2" s="10">
        <f>Monthly_Forecast_2026!F2</f>
        <v/>
      </c>
      <c r="D2" s="10">
        <f>PnL_3Y!D2/12</f>
        <v/>
      </c>
      <c r="E2" t="inlineStr">
        <is>
          <t>tracking</t>
        </is>
      </c>
    </row>
    <row r="3">
      <c r="A3" t="inlineStr">
        <is>
          <t>Gross Margin</t>
        </is>
      </c>
      <c r="B3" s="9" t="n">
        <v>0.96</v>
      </c>
      <c r="C3" s="9">
        <f>Unit_Economics!B4</f>
        <v/>
      </c>
      <c r="D3" s="9">
        <f>Unit_Economics!D4</f>
        <v/>
      </c>
      <c r="E3" t="inlineStr">
        <is>
          <t>good</t>
        </is>
      </c>
    </row>
    <row r="4">
      <c r="A4" t="inlineStr">
        <is>
          <t>CAC</t>
        </is>
      </c>
      <c r="B4" s="10" t="n">
        <v>52</v>
      </c>
      <c r="C4" s="10">
        <f>Unit_Economics!B2</f>
        <v/>
      </c>
      <c r="D4" s="10">
        <f>Unit_Economics!D2</f>
        <v/>
      </c>
      <c r="E4" t="inlineStr">
        <is>
          <t>improving</t>
        </is>
      </c>
    </row>
    <row r="5">
      <c r="A5" t="inlineStr">
        <is>
          <t>LTV</t>
        </is>
      </c>
      <c r="B5" s="10" t="n">
        <v>180</v>
      </c>
      <c r="C5" s="10">
        <f>Unit_Economics!B6</f>
        <v/>
      </c>
      <c r="D5" s="10">
        <f>Unit_Economics!D6</f>
        <v/>
      </c>
      <c r="E5" t="inlineStr">
        <is>
          <t>improving</t>
        </is>
      </c>
    </row>
    <row r="6">
      <c r="A6" t="inlineStr">
        <is>
          <t>LTV/CAC</t>
        </is>
      </c>
      <c r="B6" s="13" t="n">
        <v>3.5</v>
      </c>
      <c r="C6" s="13">
        <f>Unit_Economics!B7</f>
        <v/>
      </c>
      <c r="D6" s="13">
        <f>Unit_Economics!D7</f>
        <v/>
      </c>
      <c r="E6" t="inlineStr">
        <is>
          <t>strong</t>
        </is>
      </c>
    </row>
    <row r="7">
      <c r="A7" t="inlineStr">
        <is>
          <t>Runway Months</t>
        </is>
      </c>
      <c r="B7" s="8" t="n">
        <v>6</v>
      </c>
      <c r="C7" s="8">
        <f>Monthly_Forecast_2026!K15</f>
        <v/>
      </c>
      <c r="D7" s="8">
        <f>Monthly_Forecast_2026!K15</f>
        <v/>
      </c>
      <c r="E7" t="inlineStr">
        <is>
          <t>monitor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4" customWidth="1" min="2" max="2"/>
    <col width="13" customWidth="1" min="3" max="3"/>
    <col width="44" customWidth="1" min="4" max="4"/>
    <col width="15" customWidth="1" min="5" max="5"/>
    <col width="44" customWidth="1" min="6" max="6"/>
  </cols>
  <sheetData>
    <row r="1">
      <c r="A1" s="5" t="inlineStr">
        <is>
          <t>VC Benchmark — Clisonix vs SaaS Median</t>
        </is>
      </c>
    </row>
    <row r="2"/>
    <row r="3">
      <c r="A3" s="6" t="inlineStr">
        <is>
          <t>Metric</t>
        </is>
      </c>
      <c r="B3" s="6" t="inlineStr">
        <is>
          <t>Clisonix 2028</t>
        </is>
      </c>
      <c r="C3" s="6" t="inlineStr">
        <is>
          <t>SaaS Median</t>
        </is>
      </c>
      <c r="D3" s="6" t="inlineStr">
        <is>
          <t>Top Quartile</t>
        </is>
      </c>
      <c r="E3" s="6" t="inlineStr">
        <is>
          <t>Gap vs Median</t>
        </is>
      </c>
      <c r="F3" s="6" t="inlineStr">
        <is>
          <t>Status</t>
        </is>
      </c>
    </row>
    <row r="4">
      <c r="A4" t="inlineStr">
        <is>
          <t>Revenue Growth YoY</t>
        </is>
      </c>
      <c r="B4" s="9">
        <f>PnL_3Y!F2</f>
        <v/>
      </c>
      <c r="C4" s="9" t="n">
        <v>0.9</v>
      </c>
      <c r="D4" s="9" t="n">
        <v>1.4</v>
      </c>
      <c r="E4" s="9">
        <f>B4-C4</f>
        <v/>
      </c>
      <c r="F4">
        <f>IF(B4&gt;=D4,"Top Quartile",IF(B4&gt;=C4,"Above Median","Below Median"))</f>
        <v/>
      </c>
    </row>
    <row r="5">
      <c r="A5" t="inlineStr">
        <is>
          <t>EBITDA Margin</t>
        </is>
      </c>
      <c r="B5" s="9">
        <f>PnL_3Y!D5</f>
        <v/>
      </c>
      <c r="C5" s="9" t="n">
        <v>0.15</v>
      </c>
      <c r="D5" s="9" t="n">
        <v>0.3</v>
      </c>
      <c r="E5" s="9">
        <f>B5-C5</f>
        <v/>
      </c>
      <c r="F5">
        <f>IF(B5&gt;=D5,"Top Quartile",IF(B5&gt;=C5,"Above Median","Below Median"))</f>
        <v/>
      </c>
    </row>
    <row r="6">
      <c r="A6" t="inlineStr">
        <is>
          <t>Gross Margin</t>
        </is>
      </c>
      <c r="B6" s="9">
        <f>Unit_Economics!D4</f>
        <v/>
      </c>
      <c r="C6" s="9" t="n">
        <v>0.78</v>
      </c>
      <c r="D6" s="9" t="n">
        <v>0.86</v>
      </c>
      <c r="E6" s="9">
        <f>B6-C6</f>
        <v/>
      </c>
      <c r="F6">
        <f>IF(B6&gt;=D6,"Top Quartile",IF(B6&gt;=C6,"Above Median","Below Median"))</f>
        <v/>
      </c>
    </row>
    <row r="7">
      <c r="A7" t="inlineStr">
        <is>
          <t>LTV/CAC</t>
        </is>
      </c>
      <c r="B7" s="13">
        <f>Unit_Economics!D7</f>
        <v/>
      </c>
      <c r="C7" s="13" t="n">
        <v>3</v>
      </c>
      <c r="D7" s="13" t="n">
        <v>5</v>
      </c>
      <c r="E7" s="13">
        <f>B7-C7</f>
        <v/>
      </c>
      <c r="F7">
        <f>IF(B7&gt;=D7,"Top Quartile",IF(B7&gt;=C7,"Above Median","Below Median"))</f>
        <v/>
      </c>
    </row>
    <row r="8">
      <c r="A8" t="inlineStr">
        <is>
          <t>CAC Payback (months)</t>
        </is>
      </c>
      <c r="B8" s="8">
        <f>Unit_Economics!D8</f>
        <v/>
      </c>
      <c r="C8" s="8" t="n">
        <v>12</v>
      </c>
      <c r="D8" s="8" t="n">
        <v>8</v>
      </c>
      <c r="E8" s="8">
        <f>C8-B8</f>
        <v/>
      </c>
      <c r="F8">
        <f>IF(B8&gt;=D8,"Top Quartile",IF(B8&gt;=C8,"Above Median","Below Median"))</f>
        <v/>
      </c>
    </row>
    <row r="9">
      <c r="A9" t="inlineStr">
        <is>
          <t>Churn (monthly)</t>
        </is>
      </c>
      <c r="B9" s="9">
        <f>Unit_Economics!D5</f>
        <v/>
      </c>
      <c r="C9" s="9" t="n">
        <v>0.03</v>
      </c>
      <c r="D9" s="9" t="n">
        <v>0.02</v>
      </c>
      <c r="E9" s="9">
        <f>C9-B9</f>
        <v/>
      </c>
      <c r="F9">
        <f>IF(B9&gt;=D9,"Top Quartile",IF(B9&gt;=C9,"Above Median","Below Median"))</f>
        <v/>
      </c>
    </row>
    <row r="10">
      <c r="A10" t="inlineStr">
        <is>
          <t>Infra Cost/User</t>
        </is>
      </c>
      <c r="B10" s="10">
        <f>Infrastructure!D11</f>
        <v/>
      </c>
      <c r="C10" s="10" t="n">
        <v>2.5</v>
      </c>
      <c r="D10" s="10" t="n">
        <v>1.2</v>
      </c>
      <c r="E10" s="10">
        <f>C10-B10</f>
        <v/>
      </c>
      <c r="F10">
        <f>IF(B10&gt;=D10,"Top Quartile",IF(B10&gt;=C10,"Above Median","Below Median"))</f>
        <v/>
      </c>
    </row>
    <row r="11"/>
    <row r="12">
      <c r="A12" t="inlineStr">
        <is>
          <t>Weighted Score</t>
        </is>
      </c>
      <c r="B12" s="13">
        <f>SUMPRODUCT(B4:B10/C4:C10,{0.15,0.2,0.15,0.2,0.1,0.1,0.1})</f>
        <v/>
      </c>
      <c r="C12" s="13" t="n">
        <v>1</v>
      </c>
      <c r="D12" s="13" t="n">
        <v>1.25</v>
      </c>
    </row>
    <row r="13"/>
    <row r="14">
      <c r="D14" s="5" t="inlineStr">
        <is>
          <t>Benchmark Notes</t>
        </is>
      </c>
    </row>
    <row r="15">
      <c r="D15" t="inlineStr">
        <is>
          <t>• Medians are directional early-stage SaaS benchmarks.</t>
        </is>
      </c>
    </row>
    <row r="16">
      <c r="D16" t="inlineStr">
        <is>
          <t>• Use this sheet for investor narrative, not as audited market data.</t>
        </is>
      </c>
    </row>
    <row r="17">
      <c r="D17" t="inlineStr">
        <is>
          <t>• Replace medians/top quartile with sector-specific comps when available.</t>
        </is>
      </c>
    </row>
  </sheetData>
  <mergeCells count="2">
    <mergeCell ref="A1:F1"/>
    <mergeCell ref="D14:F14"/>
  </mergeCells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0" customWidth="1" min="2" max="2"/>
    <col width="12" customWidth="1" min="3" max="3"/>
    <col width="22" customWidth="1" min="4" max="4"/>
    <col width="44" customWidth="1" min="5" max="5"/>
    <col width="39" customWidth="1" min="6" max="6"/>
  </cols>
  <sheetData>
    <row r="1">
      <c r="A1" s="5" t="inlineStr">
        <is>
          <t>Data Room Readiness — Investor Due Diligence</t>
        </is>
      </c>
    </row>
    <row r="2"/>
    <row r="3">
      <c r="A3" s="6" t="inlineStr">
        <is>
          <t>Category</t>
        </is>
      </c>
      <c r="B3" s="6" t="inlineStr">
        <is>
          <t>Document / Evidence</t>
        </is>
      </c>
      <c r="C3" s="6" t="inlineStr">
        <is>
          <t>Owner</t>
        </is>
      </c>
      <c r="D3" s="6" t="inlineStr">
        <is>
          <t>Status</t>
        </is>
      </c>
      <c r="E3" s="6" t="inlineStr">
        <is>
          <t>Priority</t>
        </is>
      </c>
      <c r="F3" s="6" t="inlineStr">
        <is>
          <t>Notes</t>
        </is>
      </c>
    </row>
    <row r="4">
      <c r="A4" t="inlineStr">
        <is>
          <t>Corporate</t>
        </is>
      </c>
      <c r="B4" t="inlineStr">
        <is>
          <t>Certificate of Incorporation</t>
        </is>
      </c>
      <c r="C4" t="inlineStr">
        <is>
          <t>Founder</t>
        </is>
      </c>
      <c r="D4" t="inlineStr">
        <is>
          <t>Pending</t>
        </is>
      </c>
      <c r="E4" t="inlineStr">
        <is>
          <t>High</t>
        </is>
      </c>
      <c r="F4" t="inlineStr">
        <is>
          <t>Upload latest signed copy</t>
        </is>
      </c>
    </row>
    <row r="5">
      <c r="A5" t="inlineStr">
        <is>
          <t>Corporate</t>
        </is>
      </c>
      <c r="B5" t="inlineStr">
        <is>
          <t>Cap Table (fully diluted)</t>
        </is>
      </c>
      <c r="C5" t="inlineStr">
        <is>
          <t>Founder</t>
        </is>
      </c>
      <c r="D5" t="inlineStr">
        <is>
          <t>Pending</t>
        </is>
      </c>
      <c r="E5" t="inlineStr">
        <is>
          <t>High</t>
        </is>
      </c>
      <c r="F5" t="inlineStr">
        <is>
          <t>Include options and notes</t>
        </is>
      </c>
    </row>
    <row r="6">
      <c r="A6" t="inlineStr">
        <is>
          <t>Finance</t>
        </is>
      </c>
      <c r="B6" t="inlineStr">
        <is>
          <t>3-year Financial Model (this workbook)</t>
        </is>
      </c>
      <c r="C6" t="inlineStr">
        <is>
          <t>Finance</t>
        </is>
      </c>
      <c r="D6" t="inlineStr">
        <is>
          <t>Done</t>
        </is>
      </c>
      <c r="E6" t="inlineStr">
        <is>
          <t>High</t>
        </is>
      </c>
      <c r="F6" t="inlineStr">
        <is>
          <t>Linked assumptions included</t>
        </is>
      </c>
    </row>
    <row r="7">
      <c r="A7" t="inlineStr">
        <is>
          <t>Finance</t>
        </is>
      </c>
      <c r="B7" t="inlineStr">
        <is>
          <t>Bank Statements (last 12 months)</t>
        </is>
      </c>
      <c r="C7" t="inlineStr">
        <is>
          <t>Finance</t>
        </is>
      </c>
      <c r="D7" t="inlineStr">
        <is>
          <t>Pending</t>
        </is>
      </c>
      <c r="E7" t="inlineStr">
        <is>
          <t>Medium</t>
        </is>
      </c>
      <c r="F7" t="inlineStr">
        <is>
          <t>Mask sensitive account numbers</t>
        </is>
      </c>
    </row>
    <row r="8">
      <c r="A8" t="inlineStr">
        <is>
          <t>Legal</t>
        </is>
      </c>
      <c r="B8" t="inlineStr">
        <is>
          <t>Terms of Service + Privacy Policy</t>
        </is>
      </c>
      <c r="C8" t="inlineStr">
        <is>
          <t>Legal</t>
        </is>
      </c>
      <c r="D8" t="inlineStr">
        <is>
          <t>Pending</t>
        </is>
      </c>
      <c r="E8" t="inlineStr">
        <is>
          <t>High</t>
        </is>
      </c>
      <c r="F8" t="inlineStr">
        <is>
          <t>GDPR alignment required</t>
        </is>
      </c>
    </row>
    <row r="9">
      <c r="A9" t="inlineStr">
        <is>
          <t>Legal</t>
        </is>
      </c>
      <c r="B9" t="inlineStr">
        <is>
          <t>IP Assignment Agreements</t>
        </is>
      </c>
      <c r="C9" t="inlineStr">
        <is>
          <t>Legal</t>
        </is>
      </c>
      <c r="D9" t="inlineStr">
        <is>
          <t>Pending</t>
        </is>
      </c>
      <c r="E9" t="inlineStr">
        <is>
          <t>High</t>
        </is>
      </c>
      <c r="F9" t="inlineStr">
        <is>
          <t>Founders + contractors</t>
        </is>
      </c>
    </row>
    <row r="10">
      <c r="A10" t="inlineStr">
        <is>
          <t>Product</t>
        </is>
      </c>
      <c r="B10" t="inlineStr">
        <is>
          <t>Architecture Overview</t>
        </is>
      </c>
      <c r="C10" t="inlineStr">
        <is>
          <t>CTO</t>
        </is>
      </c>
      <c r="D10" t="inlineStr">
        <is>
          <t>Done</t>
        </is>
      </c>
      <c r="E10" t="inlineStr">
        <is>
          <t>Medium</t>
        </is>
      </c>
      <c r="F10" t="inlineStr">
        <is>
          <t>Include Ocean Core + Excel Core</t>
        </is>
      </c>
    </row>
    <row r="11">
      <c r="A11" t="inlineStr">
        <is>
          <t>Product</t>
        </is>
      </c>
      <c r="B11" t="inlineStr">
        <is>
          <t>Roadmap (12-18 months)</t>
        </is>
      </c>
      <c r="C11" t="inlineStr">
        <is>
          <t>Product</t>
        </is>
      </c>
      <c r="D11" t="inlineStr">
        <is>
          <t>Pending</t>
        </is>
      </c>
      <c r="E11" t="inlineStr">
        <is>
          <t>Medium</t>
        </is>
      </c>
      <c r="F11" t="inlineStr">
        <is>
          <t>Milestones + dependencies</t>
        </is>
      </c>
    </row>
    <row r="12">
      <c r="A12" t="inlineStr">
        <is>
          <t>Security</t>
        </is>
      </c>
      <c r="B12" t="inlineStr">
        <is>
          <t>Security Policy + Incident Plan</t>
        </is>
      </c>
      <c r="C12" t="inlineStr">
        <is>
          <t>Security</t>
        </is>
      </c>
      <c r="D12" t="inlineStr">
        <is>
          <t>Pending</t>
        </is>
      </c>
      <c r="E12" t="inlineStr">
        <is>
          <t>High</t>
        </is>
      </c>
      <c r="F12" t="inlineStr">
        <is>
          <t>Add RTO/RPO targets</t>
        </is>
      </c>
    </row>
    <row r="13">
      <c r="A13" t="inlineStr">
        <is>
          <t>Security</t>
        </is>
      </c>
      <c r="B13" t="inlineStr">
        <is>
          <t>Access Control Matrix</t>
        </is>
      </c>
      <c r="C13" t="inlineStr">
        <is>
          <t>Security</t>
        </is>
      </c>
      <c r="D13" t="inlineStr">
        <is>
          <t>Pending</t>
        </is>
      </c>
      <c r="E13" t="inlineStr">
        <is>
          <t>Medium</t>
        </is>
      </c>
      <c r="F13" t="inlineStr">
        <is>
          <t>Roles and privileges</t>
        </is>
      </c>
    </row>
    <row r="14">
      <c r="A14" t="inlineStr">
        <is>
          <t>Traction</t>
        </is>
      </c>
      <c r="B14" t="inlineStr">
        <is>
          <t>User Growth Evidence</t>
        </is>
      </c>
      <c r="C14" t="inlineStr">
        <is>
          <t>Growth</t>
        </is>
      </c>
      <c r="D14" t="inlineStr">
        <is>
          <t>Done</t>
        </is>
      </c>
      <c r="E14" t="inlineStr">
        <is>
          <t>High</t>
        </is>
      </c>
      <c r="F14" t="inlineStr">
        <is>
          <t>Use product analytics exports</t>
        </is>
      </c>
    </row>
    <row r="15">
      <c r="A15" t="inlineStr">
        <is>
          <t>Traction</t>
        </is>
      </c>
      <c r="B15" t="inlineStr">
        <is>
          <t>Retention/Cohort Analysis</t>
        </is>
      </c>
      <c r="C15" t="inlineStr">
        <is>
          <t>Growth</t>
        </is>
      </c>
      <c r="D15" t="inlineStr">
        <is>
          <t>Pending</t>
        </is>
      </c>
      <c r="E15" t="inlineStr">
        <is>
          <t>Medium</t>
        </is>
      </c>
      <c r="F15" t="inlineStr">
        <is>
          <t>By country and plan</t>
        </is>
      </c>
    </row>
    <row r="16">
      <c r="A16" t="inlineStr">
        <is>
          <t>Commercial</t>
        </is>
      </c>
      <c r="B16" t="inlineStr">
        <is>
          <t>Top Customer Contracts</t>
        </is>
      </c>
      <c r="C16" t="inlineStr">
        <is>
          <t>Sales</t>
        </is>
      </c>
      <c r="D16" t="inlineStr">
        <is>
          <t>Pending</t>
        </is>
      </c>
      <c r="E16" t="inlineStr">
        <is>
          <t>High</t>
        </is>
      </c>
      <c r="F16" t="inlineStr">
        <is>
          <t>Redact confidential pricing if needed</t>
        </is>
      </c>
    </row>
    <row r="17">
      <c r="A17" t="inlineStr">
        <is>
          <t>Commercial</t>
        </is>
      </c>
      <c r="B17" t="inlineStr">
        <is>
          <t>Pipeline Forecast</t>
        </is>
      </c>
      <c r="C17" t="inlineStr">
        <is>
          <t>Sales</t>
        </is>
      </c>
      <c r="D17" t="inlineStr">
        <is>
          <t>Pending</t>
        </is>
      </c>
      <c r="E17" t="inlineStr">
        <is>
          <t>Medium</t>
        </is>
      </c>
      <c r="F17" t="inlineStr">
        <is>
          <t>Weighted opportunities</t>
        </is>
      </c>
    </row>
    <row r="18">
      <c r="A18" t="inlineStr">
        <is>
          <t>Operations</t>
        </is>
      </c>
      <c r="B18" t="inlineStr">
        <is>
          <t>SLA/Uptime Evidence</t>
        </is>
      </c>
      <c r="C18" t="inlineStr">
        <is>
          <t>Ops</t>
        </is>
      </c>
      <c r="D18" t="inlineStr">
        <is>
          <t>Done</t>
        </is>
      </c>
      <c r="E18" t="inlineStr">
        <is>
          <t>Medium</t>
        </is>
      </c>
      <c r="F18" t="inlineStr">
        <is>
          <t>Include monitoring snapshots</t>
        </is>
      </c>
    </row>
    <row r="19">
      <c r="A19" t="inlineStr">
        <is>
          <t>Operations</t>
        </is>
      </c>
      <c r="B19" t="inlineStr">
        <is>
          <t>Backup &amp; Disaster Recovery Proof</t>
        </is>
      </c>
      <c r="C19" t="inlineStr">
        <is>
          <t>Ops</t>
        </is>
      </c>
      <c r="D19" t="inlineStr">
        <is>
          <t>Pending</t>
        </is>
      </c>
      <c r="E19" t="inlineStr">
        <is>
          <t>High</t>
        </is>
      </c>
      <c r="F19" t="inlineStr">
        <is>
          <t>Restore test evidence</t>
        </is>
      </c>
    </row>
    <row r="20"/>
    <row r="21"/>
    <row r="22">
      <c r="A22" s="5" t="inlineStr">
        <is>
          <t>Completion KPIs</t>
        </is>
      </c>
    </row>
    <row r="23">
      <c r="A23" t="inlineStr">
        <is>
          <t>Total Items</t>
        </is>
      </c>
      <c r="B23">
        <f>COUNTA(A4:A200)</f>
        <v/>
      </c>
      <c r="D23" t="inlineStr">
        <is>
          <t>High Priority Open</t>
        </is>
      </c>
      <c r="E23">
        <f>COUNTIFS(E4:E200,"High",D4:D200,"Pending")</f>
        <v/>
      </c>
    </row>
    <row r="24">
      <c r="A24" t="inlineStr">
        <is>
          <t>Completed (Done)</t>
        </is>
      </c>
      <c r="B24">
        <f>COUNTIF(D4:D200,"Done")</f>
        <v/>
      </c>
      <c r="D24" t="inlineStr">
        <is>
          <t>Medium Priority Open</t>
        </is>
      </c>
      <c r="E24">
        <f>COUNTIFS(E4:E200,"Medium",D4:D200,"Pending")</f>
        <v/>
      </c>
    </row>
    <row r="25">
      <c r="A25" t="inlineStr">
        <is>
          <t>Pending</t>
        </is>
      </c>
      <c r="B25">
        <f>COUNTIF(D4:D200,"Pending")</f>
        <v/>
      </c>
    </row>
    <row r="26">
      <c r="A26" t="inlineStr">
        <is>
          <t>Readiness %</t>
        </is>
      </c>
      <c r="B26" s="9">
        <f>IF(B23=0,0,B24/B23)</f>
        <v/>
      </c>
    </row>
  </sheetData>
  <mergeCells count="2">
    <mergeCell ref="A1:F1"/>
    <mergeCell ref="A22:C2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7" customWidth="1" min="2" max="2"/>
    <col width="17" customWidth="1" min="3" max="3"/>
    <col width="17" customWidth="1" min="4" max="4"/>
    <col width="12" customWidth="1" min="5" max="5"/>
    <col width="12" customWidth="1" min="6" max="6"/>
  </cols>
  <sheetData>
    <row r="1">
      <c r="A1" s="5" t="inlineStr">
        <is>
          <t>Clisonix Investor Analytics Dashboard</t>
        </is>
      </c>
    </row>
    <row r="2"/>
    <row r="3">
      <c r="A3" s="6" t="inlineStr">
        <is>
          <t>Metric</t>
        </is>
      </c>
      <c r="B3" s="6" t="inlineStr">
        <is>
          <t>2026</t>
        </is>
      </c>
      <c r="C3" s="6" t="inlineStr">
        <is>
          <t>2027</t>
        </is>
      </c>
      <c r="D3" s="6" t="inlineStr">
        <is>
          <t>2028</t>
        </is>
      </c>
    </row>
    <row r="4">
      <c r="A4" t="inlineStr">
        <is>
          <t>Revenue</t>
        </is>
      </c>
      <c r="B4" s="10">
        <f>PnL_3Y!B2</f>
        <v/>
      </c>
      <c r="C4" s="10">
        <f>PnL_3Y!C2</f>
        <v/>
      </c>
      <c r="D4" s="10">
        <f>PnL_3Y!D2</f>
        <v/>
      </c>
    </row>
    <row r="5">
      <c r="A5" t="inlineStr">
        <is>
          <t>Expenses</t>
        </is>
      </c>
      <c r="B5" s="10">
        <f>PnL_3Y!B3</f>
        <v/>
      </c>
      <c r="C5" s="10">
        <f>PnL_3Y!C3</f>
        <v/>
      </c>
      <c r="D5" s="10">
        <f>PnL_3Y!D3</f>
        <v/>
      </c>
    </row>
    <row r="6">
      <c r="A6" t="inlineStr">
        <is>
          <t>EBITDA</t>
        </is>
      </c>
      <c r="B6" s="10">
        <f>PnL_3Y!B4</f>
        <v/>
      </c>
      <c r="C6" s="10">
        <f>PnL_3Y!C4</f>
        <v/>
      </c>
      <c r="D6" s="10">
        <f>PnL_3Y!D4</f>
        <v/>
      </c>
    </row>
    <row r="7">
      <c r="A7" t="inlineStr">
        <is>
          <t>EBITDA Margin</t>
        </is>
      </c>
      <c r="B7" s="9">
        <f>PnL_3Y!B5</f>
        <v/>
      </c>
      <c r="C7" s="9">
        <f>PnL_3Y!C5</f>
        <v/>
      </c>
      <c r="D7" s="9">
        <f>PnL_3Y!D5</f>
        <v/>
      </c>
    </row>
    <row r="8">
      <c r="A8" t="inlineStr">
        <is>
          <t>Paid Users</t>
        </is>
      </c>
      <c r="B8" s="7">
        <f>Assumptions!B5</f>
        <v/>
      </c>
      <c r="C8" s="7">
        <f>Assumptions!C5</f>
        <v/>
      </c>
      <c r="D8" s="7">
        <f>Assumptions!D5</f>
        <v/>
      </c>
    </row>
    <row r="9">
      <c r="A9" t="inlineStr">
        <is>
          <t>ARPU</t>
        </is>
      </c>
      <c r="B9" s="10">
        <f>Assumptions!B6</f>
        <v/>
      </c>
      <c r="C9" s="10">
        <f>Assumptions!C6</f>
        <v/>
      </c>
      <c r="D9" s="10">
        <f>Assumptions!D6</f>
        <v/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2026-03-02T07:55:24Z</dcterms:created>
  <dcterms:modified xmlns:dcterms="http://purl.org/dc/terms/" xmlns:xsi="http://www.w3.org/2001/XMLSchema-instance" xsi:type="dcterms:W3CDTF">2026-03-02T07:55:24Z</dcterms:modified>
</cp:coreProperties>
</file>