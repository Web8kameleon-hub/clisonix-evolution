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neurosonix-cloud\"/>
    </mc:Choice>
  </mc:AlternateContent>
  <xr:revisionPtr revIDLastSave="0" documentId="13_ncr:1_{4CEC239E-43DC-43DC-8A81-6492C545E0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Python_Formulas" sheetId="2" r:id="rId2"/>
    <sheet name="Quick_Analysis" sheetId="3" r:id="rId3"/>
    <sheet name="How_To_U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A1" i="4" a="1"/>
  <c r="A1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xl(%P2%)</code>
    </pythonScript>
  </pythonScripts>
</python>
</file>

<file path=xl/sharedStrings.xml><?xml version="1.0" encoding="utf-8"?>
<sst xmlns="http://schemas.openxmlformats.org/spreadsheetml/2006/main" count="96" uniqueCount="76">
  <si>
    <t>ID</t>
  </si>
  <si>
    <t>Endpoint</t>
  </si>
  <si>
    <t>Status</t>
  </si>
  <si>
    <t>Maturity</t>
  </si>
  <si>
    <t>ML_Confidence</t>
  </si>
  <si>
    <t>Score</t>
  </si>
  <si>
    <t>Timestamp</t>
  </si>
  <si>
    <t>/health</t>
  </si>
  <si>
    <t>PASS</t>
  </si>
  <si>
    <t>Production</t>
  </si>
  <si>
    <t>2026-01-11 10:00</t>
  </si>
  <si>
    <t>/status</t>
  </si>
  <si>
    <t>2026-01-11 10:01</t>
  </si>
  <si>
    <t>/api/alba/health</t>
  </si>
  <si>
    <t>Stable</t>
  </si>
  <si>
    <t>2026-01-11 10:02</t>
  </si>
  <si>
    <t>/api/albi/neural</t>
  </si>
  <si>
    <t>FAIL</t>
  </si>
  <si>
    <t>Beta</t>
  </si>
  <si>
    <t>2026-01-11 10:03</t>
  </si>
  <si>
    <t>/asi/status</t>
  </si>
  <si>
    <t>2026-01-11 10:04</t>
  </si>
  <si>
    <t>/brain/analyze</t>
  </si>
  <si>
    <t>2026-01-11 10:05</t>
  </si>
  <si>
    <t>/billing/plans</t>
  </si>
  <si>
    <t>2026-01-11 10:06</t>
  </si>
  <si>
    <t>/jona/coordinate</t>
  </si>
  <si>
    <t>2026-01-11 10:07</t>
  </si>
  <si>
    <t>/api/metrics</t>
  </si>
  <si>
    <t>2026-01-11 10:08</t>
  </si>
  <si>
    <t>/stream/audio</t>
  </si>
  <si>
    <t>2026-01-11 10:09</t>
  </si>
  <si>
    <t>🐍 PYTHON IN EXCEL - Formula Guide</t>
  </si>
  <si>
    <t>Këto formula funksionojnë në Excel 365 me Python in Excel të aktivizuar.</t>
  </si>
  <si>
    <t>Emri</t>
  </si>
  <si>
    <t>Formula</t>
  </si>
  <si>
    <t>Përshkrimi</t>
  </si>
  <si>
    <t>Statistics Summary</t>
  </si>
  <si>
    <t>Llogarit statistika për të dhënat</t>
  </si>
  <si>
    <t>Histogram Chart</t>
  </si>
  <si>
    <t>Krijon histogram për Status</t>
  </si>
  <si>
    <t>Pie Chart</t>
  </si>
  <si>
    <t>Krijon pie chart për Maturity</t>
  </si>
  <si>
    <t>Correlation Heatmap</t>
  </si>
  <si>
    <t>Tregon korrelacionin mes kolonave</t>
  </si>
  <si>
    <t>ML Prediction</t>
  </si>
  <si>
    <t>Random Forest prediction</t>
  </si>
  <si>
    <t>Time Series</t>
  </si>
  <si>
    <t>Grafik i ML Confidence në kohë</t>
  </si>
  <si>
    <t>📊 QUICK ANALYSIS</t>
  </si>
  <si>
    <t>Status Distribution</t>
  </si>
  <si>
    <t>Maturity Levels</t>
  </si>
  <si>
    <t>1️⃣ AKTIVIZO PYTHON IN EXCEL:</t>
  </si>
  <si>
    <t xml:space="preserve">   • Duhet Microsoft 365 (jo free version)</t>
  </si>
  <si>
    <t xml:space="preserve">   • File → Options → General → Enable Python (Preview)</t>
  </si>
  <si>
    <t xml:space="preserve">   • Ose: Insert → Python → Trust Python</t>
  </si>
  <si>
    <t>2️⃣ SHKRUAJ FORMULA PYTHON:</t>
  </si>
  <si>
    <t xml:space="preserve">   • Në një qelizë shkruaj: =PY("kod python")</t>
  </si>
  <si>
    <t xml:space="preserve">   • Ose: Ctrl+Shift+P për Python cell</t>
  </si>
  <si>
    <t>3️⃣ PËRDOR XL() PËR TË MARRË DATA:</t>
  </si>
  <si>
    <t xml:space="preserve">   • xl('A1:E10') - merr range si DataFrame</t>
  </si>
  <si>
    <t xml:space="preserve">   • xl('Sheet1!A1:B5', headers=True)</t>
  </si>
  <si>
    <t>4️⃣ SHFAQ REZULTATE:</t>
  </si>
  <si>
    <t xml:space="preserve">   • Return DataFrame → shfaqet si tabelë</t>
  </si>
  <si>
    <t xml:space="preserve">   • Return Figure → shfaqet si imazh</t>
  </si>
  <si>
    <t xml:space="preserve">   • Return vlerë → shfaqet në qelizë</t>
  </si>
  <si>
    <t>5️⃣ BIBLIOTEKA TË DISPONUESHME:</t>
  </si>
  <si>
    <t xml:space="preserve">   • pandas, numpy, matplotlib, seaborn</t>
  </si>
  <si>
    <t xml:space="preserve">   • scikit-learn, scipy, statsmodels</t>
  </si>
  <si>
    <t xml:space="preserve">   • Dhe shumë të tjera!</t>
  </si>
  <si>
    <t>📌 SHEMBULL:</t>
  </si>
  <si>
    <t xml:space="preserve">   =PY("</t>
  </si>
  <si>
    <t xml:space="preserve">   import pandas as pd</t>
  </si>
  <si>
    <t xml:space="preserve">   df = xl('Data!A1:G11', headers=True)</t>
  </si>
  <si>
    <t xml:space="preserve">   df.describe()</t>
  </si>
  <si>
    <t xml:space="preserve">   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</si>
</sst>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1F4E79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ichStyles" Target="richData/richStyles.xml"/><Relationship Id="rId5" Type="http://schemas.openxmlformats.org/officeDocument/2006/relationships/theme" Target="theme/theme1.xml"/><Relationship Id="rId15" Type="http://schemas.openxmlformats.org/officeDocument/2006/relationships/calcChain" Target="calcChain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de-DE"/>
              <a:t>Status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Quick_Analysis!$A$4:$A$5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Quick_Analysis!$B$4:$B$5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F-4B54-BB51-0C1A7C2CC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Maturity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Quick_Analysis!$A$9:$A$11</c:f>
              <c:strCache>
                <c:ptCount val="3"/>
                <c:pt idx="0">
                  <c:v>Production</c:v>
                </c:pt>
                <c:pt idx="1">
                  <c:v>Stable</c:v>
                </c:pt>
                <c:pt idx="2">
                  <c:v>Beta</c:v>
                </c:pt>
              </c:strCache>
            </c:strRef>
          </c:cat>
          <c:val>
            <c:numRef>
              <c:f>Quick_Analysis!$B$9:$B$11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2-4231-9E7B-A59B3950C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>0</fb>
    <v>0</v>
  </rv>
  <rv s="1">
    <fb>0</fb>
    <v>&lt;class 'NoneType'&gt;</v>
    <v>NoneType</v>
    <v>None</v>
    <v>0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bereitgestellt von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8" customWidth="1"/>
    <col min="2" max="2" width="25" customWidth="1"/>
    <col min="3" max="3" width="12" customWidth="1"/>
    <col min="4" max="5" width="15" customWidth="1"/>
    <col min="6" max="6" width="10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 t="s">
        <v>8</v>
      </c>
      <c r="D2" s="2" t="s">
        <v>9</v>
      </c>
      <c r="E2" s="2">
        <v>0.95</v>
      </c>
      <c r="F2" s="2">
        <v>98</v>
      </c>
      <c r="G2" s="2" t="s">
        <v>10</v>
      </c>
    </row>
    <row r="3" spans="1:7" x14ac:dyDescent="0.25">
      <c r="A3" s="2">
        <v>2</v>
      </c>
      <c r="B3" s="2" t="s">
        <v>11</v>
      </c>
      <c r="C3" s="3" t="s">
        <v>8</v>
      </c>
      <c r="D3" s="2" t="s">
        <v>9</v>
      </c>
      <c r="E3" s="2">
        <v>0.92</v>
      </c>
      <c r="F3" s="2">
        <v>95</v>
      </c>
      <c r="G3" s="2" t="s">
        <v>12</v>
      </c>
    </row>
    <row r="4" spans="1:7" x14ac:dyDescent="0.25">
      <c r="A4" s="2">
        <v>3</v>
      </c>
      <c r="B4" s="2" t="s">
        <v>13</v>
      </c>
      <c r="C4" s="3" t="s">
        <v>8</v>
      </c>
      <c r="D4" s="2" t="s">
        <v>14</v>
      </c>
      <c r="E4" s="2">
        <v>0.88</v>
      </c>
      <c r="F4" s="2">
        <v>90</v>
      </c>
      <c r="G4" s="2" t="s">
        <v>15</v>
      </c>
    </row>
    <row r="5" spans="1:7" x14ac:dyDescent="0.25">
      <c r="A5" s="2">
        <v>4</v>
      </c>
      <c r="B5" s="2" t="s">
        <v>16</v>
      </c>
      <c r="C5" s="4" t="s">
        <v>17</v>
      </c>
      <c r="D5" s="2" t="s">
        <v>18</v>
      </c>
      <c r="E5" s="2">
        <v>0.45</v>
      </c>
      <c r="F5" s="2">
        <v>60</v>
      </c>
      <c r="G5" s="2" t="s">
        <v>19</v>
      </c>
    </row>
    <row r="6" spans="1:7" x14ac:dyDescent="0.25">
      <c r="A6" s="2">
        <v>5</v>
      </c>
      <c r="B6" s="2" t="s">
        <v>20</v>
      </c>
      <c r="C6" s="3" t="s">
        <v>8</v>
      </c>
      <c r="D6" s="2" t="s">
        <v>9</v>
      </c>
      <c r="E6" s="2">
        <v>0.91</v>
      </c>
      <c r="F6" s="2">
        <v>94</v>
      </c>
      <c r="G6" s="2" t="s">
        <v>21</v>
      </c>
    </row>
    <row r="7" spans="1:7" x14ac:dyDescent="0.25">
      <c r="A7" s="2">
        <v>6</v>
      </c>
      <c r="B7" s="2" t="s">
        <v>22</v>
      </c>
      <c r="C7" s="3" t="s">
        <v>8</v>
      </c>
      <c r="D7" s="2" t="s">
        <v>14</v>
      </c>
      <c r="E7" s="2">
        <v>0.87</v>
      </c>
      <c r="F7" s="2">
        <v>89</v>
      </c>
      <c r="G7" s="2" t="s">
        <v>23</v>
      </c>
    </row>
    <row r="8" spans="1:7" x14ac:dyDescent="0.25">
      <c r="A8" s="2">
        <v>7</v>
      </c>
      <c r="B8" s="2" t="s">
        <v>24</v>
      </c>
      <c r="C8" s="3" t="s">
        <v>8</v>
      </c>
      <c r="D8" s="2" t="s">
        <v>9</v>
      </c>
      <c r="E8" s="2">
        <v>0.93</v>
      </c>
      <c r="F8" s="2">
        <v>96</v>
      </c>
      <c r="G8" s="2" t="s">
        <v>25</v>
      </c>
    </row>
    <row r="9" spans="1:7" x14ac:dyDescent="0.25">
      <c r="A9" s="2">
        <v>8</v>
      </c>
      <c r="B9" s="2" t="s">
        <v>26</v>
      </c>
      <c r="C9" s="4" t="s">
        <v>17</v>
      </c>
      <c r="D9" s="2" t="s">
        <v>18</v>
      </c>
      <c r="E9" s="2">
        <v>0.52</v>
      </c>
      <c r="F9" s="2">
        <v>65</v>
      </c>
      <c r="G9" s="2" t="s">
        <v>27</v>
      </c>
    </row>
    <row r="10" spans="1:7" x14ac:dyDescent="0.25">
      <c r="A10" s="2">
        <v>9</v>
      </c>
      <c r="B10" s="2" t="s">
        <v>28</v>
      </c>
      <c r="C10" s="3" t="s">
        <v>8</v>
      </c>
      <c r="D10" s="2" t="s">
        <v>14</v>
      </c>
      <c r="E10" s="2">
        <v>0.89</v>
      </c>
      <c r="F10" s="2">
        <v>91</v>
      </c>
      <c r="G10" s="2" t="s">
        <v>29</v>
      </c>
    </row>
    <row r="11" spans="1:7" x14ac:dyDescent="0.25">
      <c r="A11" s="2">
        <v>10</v>
      </c>
      <c r="B11" s="2" t="s">
        <v>30</v>
      </c>
      <c r="C11" s="3" t="s">
        <v>8</v>
      </c>
      <c r="D11" s="2" t="s">
        <v>9</v>
      </c>
      <c r="E11" s="2">
        <v>0.94</v>
      </c>
      <c r="F11" s="2">
        <v>97</v>
      </c>
      <c r="G11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sqref="A1:XFD1048576"/>
    </sheetView>
  </sheetViews>
  <sheetFormatPr baseColWidth="10" defaultColWidth="9.140625" defaultRowHeight="15" x14ac:dyDescent="0.25"/>
  <cols>
    <col min="1" max="1" width="25" customWidth="1"/>
    <col min="2" max="2" width="80" customWidth="1"/>
    <col min="3" max="3" width="40" customWidth="1"/>
  </cols>
  <sheetData>
    <row r="1" spans="1:4" ht="21" x14ac:dyDescent="0.35">
      <c r="A1" s="9" t="s">
        <v>32</v>
      </c>
      <c r="B1" s="10"/>
      <c r="C1" s="10"/>
      <c r="D1" s="10"/>
    </row>
    <row r="3" spans="1:4" x14ac:dyDescent="0.25">
      <c r="A3" s="11" t="s">
        <v>33</v>
      </c>
      <c r="B3" s="10"/>
      <c r="C3" s="10"/>
      <c r="D3" s="10"/>
    </row>
    <row r="5" spans="1:4" x14ac:dyDescent="0.25">
      <c r="A5" s="5" t="s">
        <v>34</v>
      </c>
      <c r="B5" s="5" t="s">
        <v>35</v>
      </c>
      <c r="C5" s="5" t="s">
        <v>36</v>
      </c>
    </row>
    <row r="6" spans="1:4" ht="80.099999999999994" customHeight="1" x14ac:dyDescent="0.25">
      <c r="A6" s="6" t="s">
        <v>37</v>
      </c>
      <c r="B6" s="6" t="e">
        <f ca="1">_xludf.PY("
import pandas as pd
# Merr data nga tabela Excel
df = xl('A1:E100', headers=True)
# Statistika
stats = df.describe()
stats
")</f>
        <v>#NAME?</v>
      </c>
      <c r="C6" s="6" t="s">
        <v>38</v>
      </c>
    </row>
    <row r="7" spans="1:4" ht="80.099999999999994" customHeight="1" x14ac:dyDescent="0.25">
      <c r="A7" s="6" t="s">
        <v>39</v>
      </c>
      <c r="B7" s="6" t="e">
        <f ca="1">_xludf.PY("
import matplotlib.pyplot as plt
import pandas as pd
df = xl('A1:E100', headers=True)
fig, ax = plt.subplots(figsize=(8,5))
df['Status'].value_counts().plot(kind='bar', ax=ax, color=['green','red','orange'])
ax.set_title('Status Distribution')
fig
")</f>
        <v>#NAME?</v>
      </c>
      <c r="C7" s="6" t="s">
        <v>40</v>
      </c>
    </row>
    <row r="8" spans="1:4" ht="80.099999999999994" customHeight="1" x14ac:dyDescent="0.25">
      <c r="A8" s="6" t="s">
        <v>41</v>
      </c>
      <c r="B8" s="6" t="e">
        <f ca="1">_xludf.PY("
import matplotlib.pyplot as plt
import pandas as pd
df = xl('A1:E100', headers=True)
fig, ax = plt.subplots(figsize=(6,6))
df['Maturity'].value_counts().plot(kind='pie', ax=ax, autopct='%1.1f%%')
ax.set_title('Maturity Levels')
fig
")</f>
        <v>#NAME?</v>
      </c>
      <c r="C8" s="6" t="s">
        <v>42</v>
      </c>
    </row>
    <row r="9" spans="1:4" ht="80.099999999999994" customHeight="1" x14ac:dyDescent="0.25">
      <c r="A9" s="6" t="s">
        <v>43</v>
      </c>
      <c r="B9" s="6" t="e">
        <f ca="1">_xludf.PY(_xlfn._LONGTEXT("
import pandas as pd
import seaborn as sns
import matplotlib.pyplot as plt
df = xl('A1:E100', headers=True)
numeric_cols = df.select_dtypes(include='number')
fig, ax = plt.subplots(figsize=(8,6))
sns.heatmap(numeric_cols.corr(), annot=True, cmap='coolwarm","', ax=ax)
fig
"))</f>
        <v>#NAME?</v>
      </c>
      <c r="C9" s="6" t="s">
        <v>44</v>
      </c>
    </row>
    <row r="10" spans="1:4" ht="80.099999999999994" customHeight="1" x14ac:dyDescent="0.25">
      <c r="A10" s="6" t="s">
        <v>45</v>
      </c>
      <c r="B10" s="6" t="e">
        <f ca="1">_xludf.PY(_xlfn._LONGTEXT("
import pandas as pd
from sklearn.ensemble import RandomForestClassifier
df = xl('A1:E100', headers=True)
# Prepare data
X = df[['ML_Confidence', 'Score']].fillna(0)
y = df['Status'].map({'PASS': 1, 'FAIL': 0}).fillna(0)
# Train model
model = RandomForest","Classifier(n_estimators=100)
model.fit(X, y)
# Predict
predictions = model.predict(X)
pd.DataFrame({'Prediction': predictions})
"))</f>
        <v>#NAME?</v>
      </c>
      <c r="C10" s="6" t="s">
        <v>46</v>
      </c>
    </row>
    <row r="11" spans="1:4" ht="80.099999999999994" customHeight="1" x14ac:dyDescent="0.25">
      <c r="A11" s="6" t="s">
        <v>47</v>
      </c>
      <c r="B11" s="6" t="e">
        <f ca="1">_xludf.PY(_xlfn._LONGTEXT("
import pandas as pd
import matplotlib.pyplot as plt
df = xl('A1:E100', headers=True)
df['Timestamp'] = pd.to_datetime(df['Timestamp'])
fig, ax = plt.subplots(figsize=(10,5))
df.set_index('Timestamp')['ML_Confidence'].plot(ax=ax)
ax.set_title('ML Confiden","ce Over Time')
fig
"))</f>
        <v>#NAME?</v>
      </c>
      <c r="C11" s="6" t="s">
        <v>48</v>
      </c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XFD1048576"/>
    </sheetView>
  </sheetViews>
  <sheetFormatPr baseColWidth="10" defaultColWidth="9.140625" defaultRowHeight="15" x14ac:dyDescent="0.25"/>
  <sheetData>
    <row r="1" spans="1:2" ht="18.75" x14ac:dyDescent="0.3">
      <c r="A1" s="7" t="s">
        <v>49</v>
      </c>
    </row>
    <row r="3" spans="1:2" x14ac:dyDescent="0.25">
      <c r="A3" s="5" t="s">
        <v>50</v>
      </c>
    </row>
    <row r="4" spans="1:2" x14ac:dyDescent="0.25">
      <c r="A4" t="s">
        <v>8</v>
      </c>
      <c r="B4">
        <v>8</v>
      </c>
    </row>
    <row r="5" spans="1:2" x14ac:dyDescent="0.25">
      <c r="A5" t="s">
        <v>17</v>
      </c>
      <c r="B5">
        <v>2</v>
      </c>
    </row>
    <row r="8" spans="1:2" x14ac:dyDescent="0.25">
      <c r="A8" s="5" t="s">
        <v>51</v>
      </c>
    </row>
    <row r="9" spans="1:2" x14ac:dyDescent="0.25">
      <c r="A9" t="s">
        <v>9</v>
      </c>
      <c r="B9">
        <v>4</v>
      </c>
    </row>
    <row r="10" spans="1:2" x14ac:dyDescent="0.25">
      <c r="A10" t="s">
        <v>14</v>
      </c>
      <c r="B10">
        <v>3</v>
      </c>
    </row>
    <row r="11" spans="1:2" x14ac:dyDescent="0.25">
      <c r="A11" t="s">
        <v>18</v>
      </c>
      <c r="B11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1"/>
  <sheetViews>
    <sheetView workbookViewId="0">
      <selection sqref="A1:XFD1048576"/>
    </sheetView>
  </sheetViews>
  <sheetFormatPr baseColWidth="10" defaultColWidth="9.140625" defaultRowHeight="15" x14ac:dyDescent="0.25"/>
  <cols>
    <col min="1" max="1" width="60" customWidth="1"/>
  </cols>
  <sheetData>
    <row r="1" spans="1:1" ht="15.75" x14ac:dyDescent="0.25">
      <c r="A1" s="8" cm="1" vm="1">
        <f t="array" ref="A1">_xlfn._xlws.PY(0,1,Data!M19)</f>
        <v>0</v>
      </c>
    </row>
    <row r="3" spans="1:1" ht="15.75" x14ac:dyDescent="0.25">
      <c r="A3" s="8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8" spans="1:1" x14ac:dyDescent="0.25">
      <c r="A8" t="s">
        <v>56</v>
      </c>
    </row>
    <row r="9" spans="1:1" x14ac:dyDescent="0.25">
      <c r="A9" t="s">
        <v>57</v>
      </c>
    </row>
    <row r="10" spans="1:1" x14ac:dyDescent="0.25">
      <c r="A10" t="s">
        <v>58</v>
      </c>
    </row>
    <row r="12" spans="1:1" x14ac:dyDescent="0.25">
      <c r="A12" t="s">
        <v>59</v>
      </c>
    </row>
    <row r="13" spans="1:1" x14ac:dyDescent="0.25">
      <c r="A13" t="s">
        <v>60</v>
      </c>
    </row>
    <row r="14" spans="1:1" x14ac:dyDescent="0.25">
      <c r="A14" t="s">
        <v>61</v>
      </c>
    </row>
    <row r="16" spans="1:1" x14ac:dyDescent="0.25">
      <c r="A16" t="s">
        <v>62</v>
      </c>
    </row>
    <row r="17" spans="1:1" x14ac:dyDescent="0.25">
      <c r="A17" t="s">
        <v>63</v>
      </c>
    </row>
    <row r="18" spans="1:1" x14ac:dyDescent="0.25">
      <c r="A18" t="s">
        <v>64</v>
      </c>
    </row>
    <row r="19" spans="1:1" x14ac:dyDescent="0.25">
      <c r="A19" t="s">
        <v>65</v>
      </c>
    </row>
    <row r="21" spans="1:1" x14ac:dyDescent="0.25">
      <c r="A21" t="s">
        <v>66</v>
      </c>
    </row>
    <row r="22" spans="1:1" x14ac:dyDescent="0.25">
      <c r="A22" t="s">
        <v>67</v>
      </c>
    </row>
    <row r="23" spans="1:1" x14ac:dyDescent="0.25">
      <c r="A23" t="s">
        <v>68</v>
      </c>
    </row>
    <row r="24" spans="1:1" x14ac:dyDescent="0.25">
      <c r="A24" t="s">
        <v>69</v>
      </c>
    </row>
    <row r="26" spans="1:1" ht="15.75" x14ac:dyDescent="0.25">
      <c r="A26" s="8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Data</vt:lpstr>
      <vt:lpstr>Python_Formulas</vt:lpstr>
      <vt:lpstr>Quick_Analysis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ledjan ahmati</cp:lastModifiedBy>
  <dcterms:created xsi:type="dcterms:W3CDTF">2026-01-11T06:48:07Z</dcterms:created>
  <dcterms:modified xsi:type="dcterms:W3CDTF">2026-01-11T07:35:02Z</dcterms:modified>
</cp:coreProperties>
</file>